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raeusbankgr-my.sharepoint.com/personal/griffone_piraeusbank_gr/Documents/Desktop/Markowitz APP/"/>
    </mc:Choice>
  </mc:AlternateContent>
  <xr:revisionPtr revIDLastSave="0" documentId="8_{C1AF3422-FEDC-4F02-BE95-6BE2EF321773}" xr6:coauthVersionLast="47" xr6:coauthVersionMax="47" xr10:uidLastSave="{00000000-0000-0000-0000-000000000000}"/>
  <bookViews>
    <workbookView xWindow="-108" yWindow="-108" windowWidth="23256" windowHeight="12456" activeTab="4" xr2:uid="{FC7539FA-AE65-40CE-B8ED-3E0C73EC2CAE}"/>
  </bookViews>
  <sheets>
    <sheet name="Stock Data" sheetId="1" r:id="rId1"/>
    <sheet name="Returns" sheetId="2" r:id="rId2"/>
    <sheet name="Risk Premia" sheetId="3" r:id="rId3"/>
    <sheet name="Data" sheetId="4" r:id="rId4"/>
    <sheet name="MVO" sheetId="5" r:id="rId5"/>
  </sheets>
  <calcPr calcId="0"/>
</workbook>
</file>

<file path=xl/calcChain.xml><?xml version="1.0" encoding="utf-8"?>
<calcChain xmlns="http://schemas.openxmlformats.org/spreadsheetml/2006/main">
  <c r="K40" i="5" l="1"/>
  <c r="H40" i="5" a="1"/>
  <c r="H40" i="5" s="1"/>
  <c r="F40" i="5" a="1"/>
  <c r="F40" i="5" s="1"/>
  <c r="C40" i="5" a="1"/>
  <c r="C40" i="5" s="1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B21" i="5"/>
  <c r="P17" i="5"/>
  <c r="O17" i="5"/>
  <c r="P16" i="5"/>
  <c r="O16" i="5"/>
  <c r="N16" i="5" a="1"/>
  <c r="N16" i="5" s="1"/>
  <c r="O15" i="5"/>
  <c r="P15" i="5"/>
  <c r="N15" i="5"/>
  <c r="M15" i="5" a="1"/>
  <c r="M15" i="5" s="1"/>
  <c r="P14" i="5"/>
  <c r="N14" i="5"/>
  <c r="O14" i="5"/>
  <c r="M14" i="5"/>
  <c r="L14" i="5" a="1"/>
  <c r="L14" i="5" s="1"/>
  <c r="M13" i="5"/>
  <c r="N13" i="5"/>
  <c r="O13" i="5"/>
  <c r="P13" i="5"/>
  <c r="L13" i="5"/>
  <c r="K13" i="5" a="1"/>
  <c r="K13" i="5" s="1"/>
  <c r="L12" i="5"/>
  <c r="M12" i="5"/>
  <c r="N12" i="5"/>
  <c r="O12" i="5"/>
  <c r="P12" i="5"/>
  <c r="K12" i="5"/>
  <c r="J12" i="5" a="1"/>
  <c r="J12" i="5" s="1"/>
  <c r="K11" i="5"/>
  <c r="L11" i="5"/>
  <c r="M11" i="5"/>
  <c r="N11" i="5"/>
  <c r="O11" i="5"/>
  <c r="P11" i="5"/>
  <c r="J11" i="5"/>
  <c r="I11" i="5" a="1"/>
  <c r="I11" i="5" s="1"/>
  <c r="J10" i="5"/>
  <c r="K10" i="5"/>
  <c r="L10" i="5"/>
  <c r="M10" i="5"/>
  <c r="N10" i="5"/>
  <c r="O10" i="5"/>
  <c r="P10" i="5"/>
  <c r="I10" i="5"/>
  <c r="H10" i="5" a="1"/>
  <c r="H10" i="5" s="1"/>
  <c r="I9" i="5"/>
  <c r="J9" i="5"/>
  <c r="K9" i="5"/>
  <c r="L9" i="5"/>
  <c r="M9" i="5"/>
  <c r="N9" i="5"/>
  <c r="O9" i="5"/>
  <c r="P9" i="5"/>
  <c r="H9" i="5"/>
  <c r="G9" i="5" a="1"/>
  <c r="G9" i="5" s="1"/>
  <c r="H8" i="5"/>
  <c r="I8" i="5"/>
  <c r="J8" i="5"/>
  <c r="K8" i="5"/>
  <c r="L8" i="5"/>
  <c r="M8" i="5"/>
  <c r="N8" i="5"/>
  <c r="O8" i="5"/>
  <c r="P8" i="5"/>
  <c r="G8" i="5"/>
  <c r="F8" i="5" a="1"/>
  <c r="F8" i="5" s="1"/>
  <c r="G7" i="5"/>
  <c r="H7" i="5"/>
  <c r="I7" i="5"/>
  <c r="J7" i="5"/>
  <c r="K7" i="5"/>
  <c r="L7" i="5"/>
  <c r="M7" i="5"/>
  <c r="N7" i="5"/>
  <c r="O7" i="5"/>
  <c r="P7" i="5"/>
  <c r="F7" i="5"/>
  <c r="E7" i="5" a="1"/>
  <c r="E7" i="5" s="1"/>
  <c r="F6" i="5"/>
  <c r="G6" i="5"/>
  <c r="H6" i="5"/>
  <c r="I6" i="5"/>
  <c r="J6" i="5"/>
  <c r="K6" i="5"/>
  <c r="L6" i="5"/>
  <c r="M6" i="5"/>
  <c r="N6" i="5"/>
  <c r="O6" i="5"/>
  <c r="P6" i="5"/>
  <c r="E6" i="5"/>
  <c r="D6" i="5" a="1"/>
  <c r="D6" i="5" s="1"/>
  <c r="E5" i="5"/>
  <c r="F5" i="5"/>
  <c r="G5" i="5"/>
  <c r="H5" i="5"/>
  <c r="I5" i="5"/>
  <c r="J5" i="5"/>
  <c r="K5" i="5"/>
  <c r="L5" i="5"/>
  <c r="M5" i="5"/>
  <c r="N5" i="5"/>
  <c r="O5" i="5"/>
  <c r="P5" i="5"/>
  <c r="D5" i="5"/>
  <c r="D4" i="5"/>
  <c r="E4" i="5"/>
  <c r="F4" i="5"/>
  <c r="G4" i="5"/>
  <c r="H4" i="5"/>
  <c r="I4" i="5"/>
  <c r="J4" i="5"/>
  <c r="K4" i="5"/>
  <c r="L4" i="5"/>
  <c r="M4" i="5"/>
  <c r="N4" i="5"/>
  <c r="O4" i="5"/>
  <c r="P4" i="5"/>
  <c r="C4" i="5"/>
  <c r="C5" i="5" a="1"/>
  <c r="C5" i="5" s="1"/>
  <c r="B4" i="5" a="1"/>
  <c r="B4" i="5" s="1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B7" i="4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B3" i="5"/>
  <c r="C5" i="4"/>
  <c r="C6" i="4" s="1"/>
  <c r="D5" i="4"/>
  <c r="D6" i="4" s="1"/>
  <c r="E5" i="4"/>
  <c r="E6" i="4" s="1"/>
  <c r="F5" i="4"/>
  <c r="F6" i="4" s="1"/>
  <c r="G5" i="4"/>
  <c r="G6" i="4" s="1"/>
  <c r="H5" i="4"/>
  <c r="H6" i="4" s="1"/>
  <c r="I5" i="4"/>
  <c r="I6" i="4" s="1"/>
  <c r="J5" i="4"/>
  <c r="J6" i="4" s="1"/>
  <c r="K5" i="4"/>
  <c r="K6" i="4" s="1"/>
  <c r="L5" i="4"/>
  <c r="L6" i="4" s="1"/>
  <c r="M5" i="4"/>
  <c r="M6" i="4" s="1"/>
  <c r="N5" i="4"/>
  <c r="N6" i="4" s="1"/>
  <c r="O5" i="4"/>
  <c r="O6" i="4" s="1"/>
  <c r="P5" i="4"/>
  <c r="P6" i="4" s="1"/>
  <c r="B5" i="4"/>
  <c r="B6" i="4" s="1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C3" i="3"/>
  <c r="B3" i="3"/>
  <c r="E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B1" i="3"/>
  <c r="C1" i="3"/>
  <c r="D1" i="3"/>
  <c r="F1" i="3"/>
  <c r="G1" i="3"/>
  <c r="H1" i="3"/>
  <c r="I1" i="3"/>
  <c r="J1" i="3"/>
  <c r="K1" i="3"/>
  <c r="L1" i="3"/>
  <c r="M1" i="3"/>
  <c r="N1" i="3"/>
  <c r="O1" i="3"/>
  <c r="P1" i="3"/>
  <c r="Q1" i="3"/>
  <c r="A1" i="3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2" i="2"/>
  <c r="R1" i="2"/>
  <c r="C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C33" i="2"/>
  <c r="D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C36" i="2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Q36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C52" i="2"/>
  <c r="D52" i="2"/>
  <c r="E52" i="2"/>
  <c r="F52" i="2"/>
  <c r="G52" i="2"/>
  <c r="H52" i="2"/>
  <c r="I52" i="2"/>
  <c r="J52" i="2"/>
  <c r="K52" i="2"/>
  <c r="L52" i="2"/>
  <c r="M52" i="2"/>
  <c r="N52" i="2"/>
  <c r="O52" i="2"/>
  <c r="P52" i="2"/>
  <c r="Q52" i="2"/>
  <c r="C53" i="2"/>
  <c r="D53" i="2"/>
  <c r="E53" i="2"/>
  <c r="F53" i="2"/>
  <c r="G53" i="2"/>
  <c r="H53" i="2"/>
  <c r="I53" i="2"/>
  <c r="J53" i="2"/>
  <c r="K53" i="2"/>
  <c r="L53" i="2"/>
  <c r="M53" i="2"/>
  <c r="N53" i="2"/>
  <c r="O53" i="2"/>
  <c r="P53" i="2"/>
  <c r="Q53" i="2"/>
  <c r="C54" i="2"/>
  <c r="D54" i="2"/>
  <c r="E54" i="2"/>
  <c r="F54" i="2"/>
  <c r="G54" i="2"/>
  <c r="H54" i="2"/>
  <c r="I54" i="2"/>
  <c r="J54" i="2"/>
  <c r="K54" i="2"/>
  <c r="L54" i="2"/>
  <c r="M54" i="2"/>
  <c r="N54" i="2"/>
  <c r="O54" i="2"/>
  <c r="P54" i="2"/>
  <c r="Q54" i="2"/>
  <c r="C55" i="2"/>
  <c r="D55" i="2"/>
  <c r="E55" i="2"/>
  <c r="F55" i="2"/>
  <c r="G55" i="2"/>
  <c r="H55" i="2"/>
  <c r="I55" i="2"/>
  <c r="J55" i="2"/>
  <c r="K55" i="2"/>
  <c r="L55" i="2"/>
  <c r="M55" i="2"/>
  <c r="N55" i="2"/>
  <c r="O55" i="2"/>
  <c r="P55" i="2"/>
  <c r="Q55" i="2"/>
  <c r="C56" i="2"/>
  <c r="D56" i="2"/>
  <c r="E56" i="2"/>
  <c r="F56" i="2"/>
  <c r="G56" i="2"/>
  <c r="H56" i="2"/>
  <c r="I56" i="2"/>
  <c r="J56" i="2"/>
  <c r="K56" i="2"/>
  <c r="L56" i="2"/>
  <c r="M56" i="2"/>
  <c r="N56" i="2"/>
  <c r="O56" i="2"/>
  <c r="P56" i="2"/>
  <c r="Q56" i="2"/>
  <c r="C57" i="2"/>
  <c r="D57" i="2"/>
  <c r="E57" i="2"/>
  <c r="F57" i="2"/>
  <c r="G57" i="2"/>
  <c r="H57" i="2"/>
  <c r="I57" i="2"/>
  <c r="J57" i="2"/>
  <c r="K57" i="2"/>
  <c r="L57" i="2"/>
  <c r="M57" i="2"/>
  <c r="N57" i="2"/>
  <c r="O57" i="2"/>
  <c r="P57" i="2"/>
  <c r="Q57" i="2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C60" i="2"/>
  <c r="D60" i="2"/>
  <c r="E60" i="2"/>
  <c r="F60" i="2"/>
  <c r="G60" i="2"/>
  <c r="H60" i="2"/>
  <c r="I60" i="2"/>
  <c r="J60" i="2"/>
  <c r="K60" i="2"/>
  <c r="L60" i="2"/>
  <c r="M60" i="2"/>
  <c r="N60" i="2"/>
  <c r="O60" i="2"/>
  <c r="P60" i="2"/>
  <c r="Q60" i="2"/>
  <c r="C61" i="2"/>
  <c r="D61" i="2"/>
  <c r="E61" i="2"/>
  <c r="F61" i="2"/>
  <c r="G61" i="2"/>
  <c r="H61" i="2"/>
  <c r="I61" i="2"/>
  <c r="J61" i="2"/>
  <c r="K61" i="2"/>
  <c r="L61" i="2"/>
  <c r="M61" i="2"/>
  <c r="N61" i="2"/>
  <c r="O61" i="2"/>
  <c r="P61" i="2"/>
  <c r="Q61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C73" i="2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C74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3" i="2"/>
  <c r="Q1" i="2"/>
  <c r="B1" i="2"/>
  <c r="C1" i="2"/>
  <c r="D1" i="2"/>
  <c r="E1" i="2"/>
  <c r="F1" i="2"/>
  <c r="G1" i="2"/>
  <c r="H1" i="2"/>
  <c r="I1" i="2"/>
  <c r="J1" i="2"/>
  <c r="K1" i="2"/>
  <c r="L1" i="2"/>
  <c r="M1" i="2"/>
  <c r="N1" i="2"/>
  <c r="O1" i="2"/>
  <c r="P1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<sst xmlns="http://schemas.openxmlformats.org/spreadsheetml/2006/main" count="30" uniqueCount="30">
  <si>
    <t>APPLE</t>
  </si>
  <si>
    <t>MICROSOFT</t>
  </si>
  <si>
    <t>ALPHABET A</t>
  </si>
  <si>
    <t>JOHNSON &amp; JOHNSON</t>
  </si>
  <si>
    <t>WALMART</t>
  </si>
  <si>
    <t>JP MORGAN CHASE &amp; CO.</t>
  </si>
  <si>
    <t>PROCTER &amp; GAMBLE</t>
  </si>
  <si>
    <t>INTEL</t>
  </si>
  <si>
    <t>NVIDIA</t>
  </si>
  <si>
    <t>WALT DISNEY</t>
  </si>
  <si>
    <t>PFIZER</t>
  </si>
  <si>
    <t>NETFLIX</t>
  </si>
  <si>
    <t>BANK OF AMERICA</t>
  </si>
  <si>
    <t>EXXON MOBIL</t>
  </si>
  <si>
    <t>Date</t>
  </si>
  <si>
    <t>AMAZON,COM</t>
  </si>
  <si>
    <t>S&amp;P500</t>
  </si>
  <si>
    <t>Risk Free</t>
  </si>
  <si>
    <t>Return Matrix</t>
  </si>
  <si>
    <t>ST.DEV</t>
  </si>
  <si>
    <t>Covariance Matrix</t>
  </si>
  <si>
    <t>Variance</t>
  </si>
  <si>
    <t>Risk Premia</t>
  </si>
  <si>
    <t>Beta</t>
  </si>
  <si>
    <t>Optimized Matrix</t>
  </si>
  <si>
    <t>Weight Matrix</t>
  </si>
  <si>
    <t>Optimal Weights</t>
  </si>
  <si>
    <t>Return</t>
  </si>
  <si>
    <t>Variance of Portfolio</t>
  </si>
  <si>
    <t>St.DEV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</si>
</sst>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"/>
  </numFmts>
  <fonts count="18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7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365760</xdr:colOff>
      <xdr:row>2</xdr:row>
      <xdr:rowOff>144780</xdr:rowOff>
    </xdr:from>
    <xdr:to>
      <xdr:col>25</xdr:col>
      <xdr:colOff>129540</xdr:colOff>
      <xdr:row>21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C7084B-B26B-3C7F-879A-48A58D26E794}"/>
            </a:ext>
          </a:extLst>
        </xdr:cNvPr>
        <xdr:cNvSpPr txBox="1"/>
      </xdr:nvSpPr>
      <xdr:spPr>
        <a:xfrm>
          <a:off x="15666720" y="510540"/>
          <a:ext cx="3421380" cy="3345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kern="1200"/>
            <a:t>Minimum</a:t>
          </a:r>
          <a:r>
            <a:rPr lang="en-US" sz="1100" kern="1200" baseline="0"/>
            <a:t> Variance Portfolio</a:t>
          </a:r>
        </a:p>
        <a:p>
          <a:r>
            <a:rPr lang="en-US" sz="1100" kern="1200" baseline="0"/>
            <a:t>Constraints:</a:t>
          </a:r>
          <a:br>
            <a:rPr lang="en-US" sz="1100" kern="1200" baseline="0"/>
          </a:br>
          <a:r>
            <a:rPr lang="en-US" sz="1100" kern="1200" baseline="0"/>
            <a:t>All weights must add up to 1</a:t>
          </a:r>
        </a:p>
        <a:p>
          <a:r>
            <a:rPr lang="en-US" sz="1100" kern="1200" baseline="0"/>
            <a:t>W of stock 1 must equal .05</a:t>
          </a:r>
        </a:p>
        <a:p>
          <a:endParaRPr lang="en-US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4911-62BE-4080-AA58-C3F85407DC50}">
  <dimension ref="A1:R74"/>
  <sheetViews>
    <sheetView topLeftCell="D67" workbookViewId="0">
      <selection activeCell="R46" sqref="R46:R74"/>
    </sheetView>
  </sheetViews>
  <sheetFormatPr defaultRowHeight="14.4" x14ac:dyDescent="0.3"/>
  <cols>
    <col min="1" max="1" width="12.88671875" style="1" customWidth="1"/>
    <col min="3" max="3" width="10.77734375" bestFit="1" customWidth="1"/>
    <col min="4" max="4" width="12.77734375" bestFit="1" customWidth="1"/>
    <col min="5" max="5" width="11" bestFit="1" customWidth="1"/>
    <col min="6" max="6" width="19.77734375" bestFit="1" customWidth="1"/>
    <col min="7" max="7" width="9.21875" bestFit="1" customWidth="1"/>
    <col min="8" max="8" width="22.109375" bestFit="1" customWidth="1"/>
    <col min="9" max="9" width="17.77734375" bestFit="1" customWidth="1"/>
    <col min="12" max="12" width="11.88671875" bestFit="1" customWidth="1"/>
    <col min="15" max="15" width="16.109375" bestFit="1" customWidth="1"/>
    <col min="16" max="16" width="12.21875" bestFit="1" customWidth="1"/>
    <col min="17" max="17" width="10.77734375" bestFit="1" customWidth="1"/>
    <col min="18" max="18" width="14" bestFit="1" customWidth="1"/>
  </cols>
  <sheetData>
    <row r="1" spans="1:18" x14ac:dyDescent="0.3">
      <c r="A1" s="1" t="s">
        <v>14</v>
      </c>
      <c r="B1" t="s">
        <v>0</v>
      </c>
      <c r="C1" t="s">
        <v>1</v>
      </c>
      <c r="D1" t="s">
        <v>15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16</v>
      </c>
      <c r="R1" t="s">
        <v>17</v>
      </c>
    </row>
    <row r="2" spans="1:18" x14ac:dyDescent="0.3">
      <c r="A2" s="1">
        <v>43831</v>
      </c>
      <c r="B2">
        <v>74.06</v>
      </c>
      <c r="C2">
        <v>158.78</v>
      </c>
      <c r="D2">
        <v>93.75</v>
      </c>
      <c r="E2">
        <v>67.42</v>
      </c>
      <c r="F2">
        <v>145.87</v>
      </c>
      <c r="G2">
        <v>39.619999999999997</v>
      </c>
      <c r="H2">
        <v>139.79</v>
      </c>
      <c r="I2">
        <v>124.5</v>
      </c>
      <c r="J2">
        <v>60.24</v>
      </c>
      <c r="K2">
        <v>5.97</v>
      </c>
      <c r="L2">
        <v>145.29</v>
      </c>
      <c r="M2">
        <v>37.25</v>
      </c>
      <c r="N2">
        <v>32.61</v>
      </c>
      <c r="O2">
        <v>35.35</v>
      </c>
      <c r="P2">
        <v>70.239999999999995</v>
      </c>
      <c r="Q2">
        <v>3244.67</v>
      </c>
      <c r="R2">
        <v>1.76</v>
      </c>
    </row>
    <row r="3" spans="1:18" x14ac:dyDescent="0.3">
      <c r="A3" s="1">
        <v>43832</v>
      </c>
      <c r="B3">
        <v>76.069999999999993</v>
      </c>
      <c r="C3">
        <v>170.43</v>
      </c>
      <c r="D3">
        <v>100.53</v>
      </c>
      <c r="E3">
        <v>73.08</v>
      </c>
      <c r="F3">
        <v>149.41999999999999</v>
      </c>
      <c r="G3">
        <v>38.299999999999997</v>
      </c>
      <c r="H3">
        <v>132.66</v>
      </c>
      <c r="I3">
        <v>124.66</v>
      </c>
      <c r="J3">
        <v>64.45</v>
      </c>
      <c r="K3">
        <v>5.89</v>
      </c>
      <c r="L3">
        <v>139.79</v>
      </c>
      <c r="M3">
        <v>35.51</v>
      </c>
      <c r="N3">
        <v>34.72</v>
      </c>
      <c r="O3">
        <v>33</v>
      </c>
      <c r="P3">
        <v>61.38</v>
      </c>
      <c r="Q3">
        <v>3235.66</v>
      </c>
      <c r="R3">
        <v>1.5</v>
      </c>
    </row>
    <row r="4" spans="1:18" x14ac:dyDescent="0.3">
      <c r="A4" s="1">
        <v>43833</v>
      </c>
      <c r="B4">
        <v>70.569999999999993</v>
      </c>
      <c r="C4">
        <v>165.31</v>
      </c>
      <c r="D4">
        <v>95.32</v>
      </c>
      <c r="E4">
        <v>67.569999999999993</v>
      </c>
      <c r="F4">
        <v>134.78</v>
      </c>
      <c r="G4">
        <v>35.869999999999997</v>
      </c>
      <c r="H4">
        <v>116.63</v>
      </c>
      <c r="I4">
        <v>113.19</v>
      </c>
      <c r="J4">
        <v>55.79</v>
      </c>
      <c r="K4">
        <v>6.92</v>
      </c>
      <c r="L4">
        <v>119.13</v>
      </c>
      <c r="M4">
        <v>32.14</v>
      </c>
      <c r="N4">
        <v>37.31</v>
      </c>
      <c r="O4">
        <v>28.35</v>
      </c>
      <c r="P4">
        <v>52.59</v>
      </c>
      <c r="Q4">
        <v>2974.28</v>
      </c>
      <c r="R4">
        <v>0.87</v>
      </c>
    </row>
    <row r="5" spans="1:18" x14ac:dyDescent="0.3">
      <c r="A5" s="1">
        <v>43834</v>
      </c>
      <c r="B5">
        <v>61.63</v>
      </c>
      <c r="C5">
        <v>153</v>
      </c>
      <c r="D5">
        <v>96.65</v>
      </c>
      <c r="E5">
        <v>56.2</v>
      </c>
      <c r="F5">
        <v>127.7</v>
      </c>
      <c r="G5">
        <v>37.380000000000003</v>
      </c>
      <c r="H5">
        <v>85.1</v>
      </c>
      <c r="I5">
        <v>107.95</v>
      </c>
      <c r="J5">
        <v>52.5</v>
      </c>
      <c r="K5">
        <v>6.39</v>
      </c>
      <c r="L5">
        <v>93.5</v>
      </c>
      <c r="M5">
        <v>30.26</v>
      </c>
      <c r="N5">
        <v>37.6</v>
      </c>
      <c r="O5">
        <v>19.93</v>
      </c>
      <c r="P5">
        <v>36.86</v>
      </c>
      <c r="Q5">
        <v>2498.08</v>
      </c>
      <c r="R5">
        <v>0.66</v>
      </c>
    </row>
    <row r="6" spans="1:18" x14ac:dyDescent="0.3">
      <c r="A6" s="1">
        <v>43835</v>
      </c>
      <c r="B6">
        <v>71.56</v>
      </c>
      <c r="C6">
        <v>175.8</v>
      </c>
      <c r="D6">
        <v>116.84</v>
      </c>
      <c r="E6">
        <v>66.2</v>
      </c>
      <c r="F6">
        <v>149.62</v>
      </c>
      <c r="G6">
        <v>40.49</v>
      </c>
      <c r="H6">
        <v>93.5</v>
      </c>
      <c r="I6">
        <v>117.6</v>
      </c>
      <c r="J6">
        <v>58.83</v>
      </c>
      <c r="K6">
        <v>7.11</v>
      </c>
      <c r="L6">
        <v>106.36</v>
      </c>
      <c r="M6">
        <v>35.880000000000003</v>
      </c>
      <c r="N6">
        <v>41.51</v>
      </c>
      <c r="O6">
        <v>23.38</v>
      </c>
      <c r="P6">
        <v>45.63</v>
      </c>
      <c r="Q6">
        <v>2869.09</v>
      </c>
      <c r="R6">
        <v>0.67</v>
      </c>
    </row>
    <row r="7" spans="1:18" x14ac:dyDescent="0.3">
      <c r="A7" s="1">
        <v>43836</v>
      </c>
      <c r="B7">
        <v>79.44</v>
      </c>
      <c r="C7">
        <v>182.54</v>
      </c>
      <c r="D7">
        <v>122.4</v>
      </c>
      <c r="E7">
        <v>71.290000000000006</v>
      </c>
      <c r="F7">
        <v>147.29</v>
      </c>
      <c r="G7">
        <v>41.15</v>
      </c>
      <c r="H7">
        <v>97.75</v>
      </c>
      <c r="I7">
        <v>116</v>
      </c>
      <c r="J7">
        <v>62.49</v>
      </c>
      <c r="K7">
        <v>8.83</v>
      </c>
      <c r="L7">
        <v>117.26</v>
      </c>
      <c r="M7">
        <v>33.65</v>
      </c>
      <c r="N7">
        <v>41.88</v>
      </c>
      <c r="O7">
        <v>24.28</v>
      </c>
      <c r="P7">
        <v>45.32</v>
      </c>
      <c r="Q7">
        <v>3038.78</v>
      </c>
      <c r="R7">
        <v>0.73</v>
      </c>
    </row>
    <row r="8" spans="1:18" x14ac:dyDescent="0.3">
      <c r="A8" s="1">
        <v>43837</v>
      </c>
      <c r="B8">
        <v>91.28</v>
      </c>
      <c r="C8">
        <v>203.14</v>
      </c>
      <c r="D8">
        <v>137.9</v>
      </c>
      <c r="E8">
        <v>70.959999999999994</v>
      </c>
      <c r="F8">
        <v>140.69</v>
      </c>
      <c r="G8">
        <v>39.82</v>
      </c>
      <c r="H8">
        <v>94.89</v>
      </c>
      <c r="I8">
        <v>119.65</v>
      </c>
      <c r="J8">
        <v>59.91</v>
      </c>
      <c r="K8">
        <v>9.52</v>
      </c>
      <c r="L8">
        <v>112.82</v>
      </c>
      <c r="M8">
        <v>32.74</v>
      </c>
      <c r="N8">
        <v>45.4</v>
      </c>
      <c r="O8">
        <v>24.03</v>
      </c>
      <c r="P8">
        <v>44.49</v>
      </c>
      <c r="Q8">
        <v>3105.92</v>
      </c>
      <c r="R8">
        <v>0.62</v>
      </c>
    </row>
    <row r="9" spans="1:18" x14ac:dyDescent="0.3">
      <c r="A9" s="1">
        <v>43838</v>
      </c>
      <c r="B9">
        <v>108.2</v>
      </c>
      <c r="C9">
        <v>211.52</v>
      </c>
      <c r="D9">
        <v>159.03</v>
      </c>
      <c r="E9">
        <v>74.55</v>
      </c>
      <c r="F9">
        <v>146.38999999999999</v>
      </c>
      <c r="G9">
        <v>43.3</v>
      </c>
      <c r="H9">
        <v>97.02</v>
      </c>
      <c r="I9">
        <v>130.47</v>
      </c>
      <c r="J9">
        <v>48.27</v>
      </c>
      <c r="K9">
        <v>10.73</v>
      </c>
      <c r="L9">
        <v>116.17</v>
      </c>
      <c r="M9">
        <v>36.6</v>
      </c>
      <c r="N9">
        <v>49.09</v>
      </c>
      <c r="O9">
        <v>25.03</v>
      </c>
      <c r="P9">
        <v>42.05</v>
      </c>
      <c r="Q9">
        <v>3288.26</v>
      </c>
      <c r="R9">
        <v>0.65</v>
      </c>
    </row>
    <row r="10" spans="1:18" x14ac:dyDescent="0.3">
      <c r="A10" s="1">
        <v>43839</v>
      </c>
      <c r="B10">
        <v>132.76</v>
      </c>
      <c r="C10">
        <v>225.51</v>
      </c>
      <c r="D10">
        <v>174.48</v>
      </c>
      <c r="E10">
        <v>81.61</v>
      </c>
      <c r="F10">
        <v>153.87</v>
      </c>
      <c r="G10">
        <v>47.07</v>
      </c>
      <c r="H10">
        <v>99.55</v>
      </c>
      <c r="I10">
        <v>137.86000000000001</v>
      </c>
      <c r="J10">
        <v>50.91</v>
      </c>
      <c r="K10">
        <v>13.48</v>
      </c>
      <c r="L10">
        <v>131.91999999999999</v>
      </c>
      <c r="M10">
        <v>35.82</v>
      </c>
      <c r="N10">
        <v>53.26</v>
      </c>
      <c r="O10">
        <v>25.58</v>
      </c>
      <c r="P10">
        <v>39.75</v>
      </c>
      <c r="Q10">
        <v>3507.44</v>
      </c>
      <c r="R10">
        <v>0.68</v>
      </c>
    </row>
    <row r="11" spans="1:18" x14ac:dyDescent="0.3">
      <c r="A11" s="1">
        <v>43840</v>
      </c>
      <c r="B11">
        <v>117.64</v>
      </c>
      <c r="C11">
        <v>213.49</v>
      </c>
      <c r="D11">
        <v>160.4</v>
      </c>
      <c r="E11">
        <v>74.180000000000007</v>
      </c>
      <c r="F11">
        <v>149.31</v>
      </c>
      <c r="G11">
        <v>46.93</v>
      </c>
      <c r="H11">
        <v>97.12</v>
      </c>
      <c r="I11">
        <v>139.58000000000001</v>
      </c>
      <c r="J11">
        <v>52.4</v>
      </c>
      <c r="K11">
        <v>13.76</v>
      </c>
      <c r="L11">
        <v>124.94</v>
      </c>
      <c r="M11">
        <v>34.99</v>
      </c>
      <c r="N11">
        <v>50.6</v>
      </c>
      <c r="O11">
        <v>24.27</v>
      </c>
      <c r="P11">
        <v>33.79</v>
      </c>
      <c r="Q11">
        <v>3385.87</v>
      </c>
      <c r="R11">
        <v>0.79</v>
      </c>
    </row>
    <row r="12" spans="1:18" x14ac:dyDescent="0.3">
      <c r="A12" s="1">
        <v>43841</v>
      </c>
      <c r="B12">
        <v>109.11</v>
      </c>
      <c r="C12">
        <v>204.29</v>
      </c>
      <c r="D12">
        <v>153.09</v>
      </c>
      <c r="E12">
        <v>81.180000000000007</v>
      </c>
      <c r="F12">
        <v>138.97999999999999</v>
      </c>
      <c r="G12">
        <v>46.86</v>
      </c>
      <c r="H12">
        <v>99.39</v>
      </c>
      <c r="I12">
        <v>138.51</v>
      </c>
      <c r="J12">
        <v>44.96</v>
      </c>
      <c r="K12">
        <v>12.66</v>
      </c>
      <c r="L12">
        <v>122.24</v>
      </c>
      <c r="M12">
        <v>34.06</v>
      </c>
      <c r="N12">
        <v>47.89</v>
      </c>
      <c r="O12">
        <v>23.89</v>
      </c>
      <c r="P12">
        <v>33.14</v>
      </c>
      <c r="Q12">
        <v>3296.2</v>
      </c>
      <c r="R12">
        <v>0.87</v>
      </c>
    </row>
    <row r="13" spans="1:18" x14ac:dyDescent="0.3">
      <c r="A13" s="1">
        <v>43842</v>
      </c>
      <c r="B13">
        <v>121.01</v>
      </c>
      <c r="C13">
        <v>214.51</v>
      </c>
      <c r="D13">
        <v>159.43</v>
      </c>
      <c r="E13">
        <v>88.33</v>
      </c>
      <c r="F13">
        <v>146.29</v>
      </c>
      <c r="G13">
        <v>51.2</v>
      </c>
      <c r="H13">
        <v>120.34</v>
      </c>
      <c r="I13">
        <v>139.16</v>
      </c>
      <c r="J13">
        <v>48.75</v>
      </c>
      <c r="K13">
        <v>13.49</v>
      </c>
      <c r="L13">
        <v>149.57</v>
      </c>
      <c r="M13">
        <v>39.4</v>
      </c>
      <c r="N13">
        <v>49.23</v>
      </c>
      <c r="O13">
        <v>28.74</v>
      </c>
      <c r="P13">
        <v>38.96</v>
      </c>
      <c r="Q13">
        <v>3645.87</v>
      </c>
      <c r="R13">
        <v>0.93</v>
      </c>
    </row>
    <row r="14" spans="1:18" x14ac:dyDescent="0.3">
      <c r="A14" s="1">
        <v>44197</v>
      </c>
      <c r="B14">
        <v>133.52000000000001</v>
      </c>
      <c r="C14">
        <v>222.53</v>
      </c>
      <c r="D14">
        <v>163.5</v>
      </c>
      <c r="E14">
        <v>88</v>
      </c>
      <c r="F14">
        <v>157.24</v>
      </c>
      <c r="G14">
        <v>48.1</v>
      </c>
      <c r="H14">
        <v>127.5</v>
      </c>
      <c r="I14">
        <v>139.66</v>
      </c>
      <c r="J14">
        <v>49.89</v>
      </c>
      <c r="K14">
        <v>13.1</v>
      </c>
      <c r="L14">
        <v>182.26</v>
      </c>
      <c r="M14">
        <v>36.869999999999997</v>
      </c>
      <c r="N14">
        <v>53.9</v>
      </c>
      <c r="O14">
        <v>30.46</v>
      </c>
      <c r="P14">
        <v>41.45</v>
      </c>
      <c r="Q14">
        <v>3764.61</v>
      </c>
      <c r="R14">
        <v>1.08</v>
      </c>
    </row>
    <row r="15" spans="1:18" x14ac:dyDescent="0.3">
      <c r="A15" s="1">
        <v>44198</v>
      </c>
      <c r="B15">
        <v>133.75</v>
      </c>
      <c r="C15">
        <v>235.06</v>
      </c>
      <c r="D15">
        <v>162.12</v>
      </c>
      <c r="E15">
        <v>92.23</v>
      </c>
      <c r="F15">
        <v>165.31</v>
      </c>
      <c r="G15">
        <v>46.97</v>
      </c>
      <c r="H15">
        <v>129.4</v>
      </c>
      <c r="I15">
        <v>129</v>
      </c>
      <c r="J15">
        <v>55.95</v>
      </c>
      <c r="K15">
        <v>13.05</v>
      </c>
      <c r="L15">
        <v>170.84</v>
      </c>
      <c r="M15">
        <v>35.93</v>
      </c>
      <c r="N15">
        <v>53.68</v>
      </c>
      <c r="O15">
        <v>29.87</v>
      </c>
      <c r="P15">
        <v>45.58</v>
      </c>
      <c r="Q15">
        <v>3731.17</v>
      </c>
      <c r="R15">
        <v>1.26</v>
      </c>
    </row>
    <row r="16" spans="1:18" x14ac:dyDescent="0.3">
      <c r="A16" s="1">
        <v>44199</v>
      </c>
      <c r="B16">
        <v>123.75</v>
      </c>
      <c r="C16">
        <v>235.9</v>
      </c>
      <c r="D16">
        <v>156.38999999999999</v>
      </c>
      <c r="E16">
        <v>102.4</v>
      </c>
      <c r="F16">
        <v>161.44999999999999</v>
      </c>
      <c r="G16">
        <v>43.86</v>
      </c>
      <c r="H16">
        <v>149.52000000000001</v>
      </c>
      <c r="I16">
        <v>124.16</v>
      </c>
      <c r="J16">
        <v>61.72</v>
      </c>
      <c r="K16">
        <v>13.88</v>
      </c>
      <c r="L16">
        <v>193.23</v>
      </c>
      <c r="M16">
        <v>33.590000000000003</v>
      </c>
      <c r="N16">
        <v>54.56</v>
      </c>
      <c r="O16">
        <v>35.520000000000003</v>
      </c>
      <c r="P16">
        <v>56.47</v>
      </c>
      <c r="Q16">
        <v>3842.51</v>
      </c>
      <c r="R16">
        <v>1.61</v>
      </c>
    </row>
    <row r="17" spans="1:18" x14ac:dyDescent="0.3">
      <c r="A17" s="1">
        <v>44200</v>
      </c>
      <c r="B17">
        <v>123.66</v>
      </c>
      <c r="C17">
        <v>238.47</v>
      </c>
      <c r="D17">
        <v>155.9</v>
      </c>
      <c r="E17">
        <v>104.61</v>
      </c>
      <c r="F17">
        <v>162.6</v>
      </c>
      <c r="G17">
        <v>45.31</v>
      </c>
      <c r="H17">
        <v>151.9</v>
      </c>
      <c r="I17">
        <v>135.05000000000001</v>
      </c>
      <c r="J17">
        <v>64.72</v>
      </c>
      <c r="K17">
        <v>13.57</v>
      </c>
      <c r="L17">
        <v>186.43</v>
      </c>
      <c r="M17">
        <v>36.299999999999997</v>
      </c>
      <c r="N17">
        <v>52.99</v>
      </c>
      <c r="O17">
        <v>38.83</v>
      </c>
      <c r="P17">
        <v>56.32</v>
      </c>
      <c r="Q17">
        <v>3992.78</v>
      </c>
      <c r="R17">
        <v>1.64</v>
      </c>
    </row>
    <row r="18" spans="1:18" x14ac:dyDescent="0.3">
      <c r="A18" s="1">
        <v>44201</v>
      </c>
      <c r="B18">
        <v>132.04</v>
      </c>
      <c r="C18">
        <v>253.4</v>
      </c>
      <c r="D18">
        <v>174.24</v>
      </c>
      <c r="E18">
        <v>118.25</v>
      </c>
      <c r="F18">
        <v>163.6</v>
      </c>
      <c r="G18">
        <v>46.56</v>
      </c>
      <c r="H18">
        <v>154.85</v>
      </c>
      <c r="I18">
        <v>134.03</v>
      </c>
      <c r="J18">
        <v>57.85</v>
      </c>
      <c r="K18">
        <v>15.13</v>
      </c>
      <c r="L18">
        <v>187.69</v>
      </c>
      <c r="M18">
        <v>39.04</v>
      </c>
      <c r="N18">
        <v>51.26</v>
      </c>
      <c r="O18">
        <v>40.869999999999997</v>
      </c>
      <c r="P18">
        <v>57.98</v>
      </c>
      <c r="Q18">
        <v>4191.9799999999996</v>
      </c>
      <c r="R18">
        <v>1.62</v>
      </c>
    </row>
    <row r="19" spans="1:18" x14ac:dyDescent="0.3">
      <c r="A19" s="1">
        <v>44202</v>
      </c>
      <c r="B19">
        <v>125.08</v>
      </c>
      <c r="C19">
        <v>251.23</v>
      </c>
      <c r="D19">
        <v>162.16999999999999</v>
      </c>
      <c r="E19">
        <v>118.72</v>
      </c>
      <c r="F19">
        <v>170.15</v>
      </c>
      <c r="G19">
        <v>47.4</v>
      </c>
      <c r="H19">
        <v>165.87</v>
      </c>
      <c r="I19">
        <v>135.79</v>
      </c>
      <c r="J19">
        <v>57.61</v>
      </c>
      <c r="K19">
        <v>16.27</v>
      </c>
      <c r="L19">
        <v>180.18</v>
      </c>
      <c r="M19">
        <v>38.94</v>
      </c>
      <c r="N19">
        <v>50.4</v>
      </c>
      <c r="O19">
        <v>42.95</v>
      </c>
      <c r="P19">
        <v>59.45</v>
      </c>
      <c r="Q19">
        <v>4216.5200000000004</v>
      </c>
      <c r="R19">
        <v>1.52</v>
      </c>
    </row>
    <row r="20" spans="1:18" x14ac:dyDescent="0.3">
      <c r="A20" s="1">
        <v>44203</v>
      </c>
      <c r="B20">
        <v>136.6</v>
      </c>
      <c r="C20">
        <v>269.61</v>
      </c>
      <c r="D20">
        <v>171.73</v>
      </c>
      <c r="E20">
        <v>121.72</v>
      </c>
      <c r="F20">
        <v>164.74</v>
      </c>
      <c r="G20">
        <v>46.8</v>
      </c>
      <c r="H20">
        <v>156.26</v>
      </c>
      <c r="I20">
        <v>135.43</v>
      </c>
      <c r="J20">
        <v>56.13</v>
      </c>
      <c r="K20">
        <v>20.13</v>
      </c>
      <c r="L20">
        <v>175.35</v>
      </c>
      <c r="M20">
        <v>39.17</v>
      </c>
      <c r="N20">
        <v>52.57</v>
      </c>
      <c r="O20">
        <v>41.56</v>
      </c>
      <c r="P20">
        <v>64.33</v>
      </c>
      <c r="Q20">
        <v>4300.7299999999996</v>
      </c>
      <c r="R20">
        <v>1.32</v>
      </c>
    </row>
    <row r="21" spans="1:18" x14ac:dyDescent="0.3">
      <c r="A21" s="1">
        <v>44204</v>
      </c>
      <c r="B21">
        <v>146.36000000000001</v>
      </c>
      <c r="C21">
        <v>286.36</v>
      </c>
      <c r="D21">
        <v>167.65</v>
      </c>
      <c r="E21">
        <v>135.12</v>
      </c>
      <c r="F21">
        <v>172.47</v>
      </c>
      <c r="G21">
        <v>47.61</v>
      </c>
      <c r="H21">
        <v>152.03</v>
      </c>
      <c r="I21">
        <v>141.77000000000001</v>
      </c>
      <c r="J21">
        <v>53.99</v>
      </c>
      <c r="K21">
        <v>19.7</v>
      </c>
      <c r="L21">
        <v>177.22</v>
      </c>
      <c r="M21">
        <v>43.3</v>
      </c>
      <c r="N21">
        <v>51.9</v>
      </c>
      <c r="O21">
        <v>38.4</v>
      </c>
      <c r="P21">
        <v>57.55</v>
      </c>
      <c r="Q21">
        <v>4406.8599999999997</v>
      </c>
      <c r="R21">
        <v>1.28</v>
      </c>
    </row>
    <row r="22" spans="1:18" x14ac:dyDescent="0.3">
      <c r="A22" s="1">
        <v>44205</v>
      </c>
      <c r="B22">
        <v>152.83000000000001</v>
      </c>
      <c r="C22">
        <v>302.87</v>
      </c>
      <c r="D22">
        <v>174.82</v>
      </c>
      <c r="E22">
        <v>145</v>
      </c>
      <c r="F22">
        <v>172.9</v>
      </c>
      <c r="G22">
        <v>49.19</v>
      </c>
      <c r="H22">
        <v>160.22</v>
      </c>
      <c r="I22">
        <v>142.33000000000001</v>
      </c>
      <c r="J22">
        <v>54.11</v>
      </c>
      <c r="K22">
        <v>22.49</v>
      </c>
      <c r="L22">
        <v>181.96</v>
      </c>
      <c r="M22">
        <v>46.19</v>
      </c>
      <c r="N22">
        <v>56.9</v>
      </c>
      <c r="O22">
        <v>41.75</v>
      </c>
      <c r="P22">
        <v>54.49</v>
      </c>
      <c r="Q22">
        <v>4528.8</v>
      </c>
      <c r="R22">
        <v>1.37</v>
      </c>
    </row>
    <row r="23" spans="1:18" x14ac:dyDescent="0.3">
      <c r="A23" s="1">
        <v>44206</v>
      </c>
      <c r="B23">
        <v>141.9</v>
      </c>
      <c r="C23">
        <v>282.12</v>
      </c>
      <c r="D23">
        <v>164.45</v>
      </c>
      <c r="E23">
        <v>134.44999999999999</v>
      </c>
      <c r="F23">
        <v>161.53</v>
      </c>
      <c r="G23">
        <v>46.42</v>
      </c>
      <c r="H23">
        <v>164</v>
      </c>
      <c r="I23">
        <v>139.93</v>
      </c>
      <c r="J23">
        <v>53.65</v>
      </c>
      <c r="K23">
        <v>20.75</v>
      </c>
      <c r="L23">
        <v>172.28</v>
      </c>
      <c r="M23">
        <v>42.52</v>
      </c>
      <c r="N23">
        <v>60.42</v>
      </c>
      <c r="O23">
        <v>42.48</v>
      </c>
      <c r="P23">
        <v>59.41</v>
      </c>
      <c r="Q23">
        <v>4317.16</v>
      </c>
      <c r="R23">
        <v>1.58</v>
      </c>
    </row>
    <row r="24" spans="1:18" x14ac:dyDescent="0.3">
      <c r="A24" s="1">
        <v>44207</v>
      </c>
      <c r="B24">
        <v>148.99</v>
      </c>
      <c r="C24">
        <v>331.36</v>
      </c>
      <c r="D24">
        <v>168.09</v>
      </c>
      <c r="E24">
        <v>148.05000000000001</v>
      </c>
      <c r="F24">
        <v>163.16</v>
      </c>
      <c r="G24">
        <v>49.99</v>
      </c>
      <c r="H24">
        <v>172.04</v>
      </c>
      <c r="I24">
        <v>143.36000000000001</v>
      </c>
      <c r="J24">
        <v>49.4</v>
      </c>
      <c r="K24">
        <v>25.65</v>
      </c>
      <c r="L24">
        <v>169.21</v>
      </c>
      <c r="M24">
        <v>44.14</v>
      </c>
      <c r="N24">
        <v>68.91</v>
      </c>
      <c r="O24">
        <v>48.1</v>
      </c>
      <c r="P24">
        <v>65.069999999999993</v>
      </c>
      <c r="Q24">
        <v>4610.62</v>
      </c>
      <c r="R24">
        <v>1.56</v>
      </c>
    </row>
    <row r="25" spans="1:18" x14ac:dyDescent="0.3">
      <c r="A25" s="1">
        <v>44208</v>
      </c>
      <c r="B25">
        <v>167.48</v>
      </c>
      <c r="C25">
        <v>335.13</v>
      </c>
      <c r="D25">
        <v>177.25</v>
      </c>
      <c r="E25">
        <v>144</v>
      </c>
      <c r="F25">
        <v>156.88</v>
      </c>
      <c r="G25">
        <v>46.84</v>
      </c>
      <c r="H25">
        <v>161</v>
      </c>
      <c r="I25">
        <v>144.85</v>
      </c>
      <c r="J25">
        <v>49.84</v>
      </c>
      <c r="K25">
        <v>33.22</v>
      </c>
      <c r="L25">
        <v>146.69999999999999</v>
      </c>
      <c r="M25">
        <v>52.47</v>
      </c>
      <c r="N25">
        <v>64.95</v>
      </c>
      <c r="O25">
        <v>45.22</v>
      </c>
      <c r="P25">
        <v>60.9</v>
      </c>
      <c r="Q25">
        <v>4602.82</v>
      </c>
      <c r="R25">
        <v>1.47</v>
      </c>
    </row>
    <row r="26" spans="1:18" x14ac:dyDescent="0.3">
      <c r="A26" s="1">
        <v>44562</v>
      </c>
      <c r="B26">
        <v>177.83</v>
      </c>
      <c r="C26">
        <v>335.35</v>
      </c>
      <c r="D26">
        <v>167.55</v>
      </c>
      <c r="E26">
        <v>145.05000000000001</v>
      </c>
      <c r="F26">
        <v>170.21</v>
      </c>
      <c r="G26">
        <v>48</v>
      </c>
      <c r="H26">
        <v>159.86000000000001</v>
      </c>
      <c r="I26">
        <v>161.69</v>
      </c>
      <c r="J26">
        <v>51.65</v>
      </c>
      <c r="K26">
        <v>29.82</v>
      </c>
      <c r="L26">
        <v>155.83000000000001</v>
      </c>
      <c r="M26">
        <v>58.5</v>
      </c>
      <c r="N26">
        <v>60.56</v>
      </c>
      <c r="O26">
        <v>45.09</v>
      </c>
      <c r="P26">
        <v>61.24</v>
      </c>
      <c r="Q26">
        <v>4778.1400000000003</v>
      </c>
      <c r="R26">
        <v>1.76</v>
      </c>
    </row>
    <row r="27" spans="1:18" x14ac:dyDescent="0.3">
      <c r="A27" s="1">
        <v>44563</v>
      </c>
      <c r="B27">
        <v>174.01</v>
      </c>
      <c r="C27">
        <v>310.41000000000003</v>
      </c>
      <c r="D27">
        <v>150</v>
      </c>
      <c r="E27">
        <v>137.59</v>
      </c>
      <c r="F27">
        <v>171.74</v>
      </c>
      <c r="G27">
        <v>46.4</v>
      </c>
      <c r="H27">
        <v>148.69</v>
      </c>
      <c r="I27">
        <v>160.79</v>
      </c>
      <c r="J27">
        <v>48.77</v>
      </c>
      <c r="K27">
        <v>25.1</v>
      </c>
      <c r="L27">
        <v>143.02000000000001</v>
      </c>
      <c r="M27">
        <v>52.74</v>
      </c>
      <c r="N27">
        <v>43.3</v>
      </c>
      <c r="O27">
        <v>46.21</v>
      </c>
      <c r="P27">
        <v>76.45</v>
      </c>
      <c r="Q27">
        <v>4519.57</v>
      </c>
      <c r="R27">
        <v>1.93</v>
      </c>
    </row>
    <row r="28" spans="1:18" x14ac:dyDescent="0.3">
      <c r="A28" s="1">
        <v>44564</v>
      </c>
      <c r="B28">
        <v>164.7</v>
      </c>
      <c r="C28">
        <v>296.39999999999998</v>
      </c>
      <c r="D28">
        <v>152.72999999999999</v>
      </c>
      <c r="E28">
        <v>134.88</v>
      </c>
      <c r="F28">
        <v>163.04</v>
      </c>
      <c r="G28">
        <v>45.29</v>
      </c>
      <c r="H28">
        <v>140.04</v>
      </c>
      <c r="I28">
        <v>154.31</v>
      </c>
      <c r="J28">
        <v>47.54</v>
      </c>
      <c r="K28">
        <v>24.29</v>
      </c>
      <c r="L28">
        <v>147.86000000000001</v>
      </c>
      <c r="M28">
        <v>46.69</v>
      </c>
      <c r="N28">
        <v>39.159999999999997</v>
      </c>
      <c r="O28">
        <v>43.71</v>
      </c>
      <c r="P28">
        <v>78.77</v>
      </c>
      <c r="Q28">
        <v>4363.1400000000003</v>
      </c>
      <c r="R28">
        <v>2.13</v>
      </c>
    </row>
    <row r="29" spans="1:18" x14ac:dyDescent="0.3">
      <c r="A29" s="1">
        <v>44565</v>
      </c>
      <c r="B29">
        <v>174.03</v>
      </c>
      <c r="C29">
        <v>309.37</v>
      </c>
      <c r="D29">
        <v>164.15</v>
      </c>
      <c r="E29">
        <v>139.5</v>
      </c>
      <c r="F29">
        <v>177.05</v>
      </c>
      <c r="G29">
        <v>49.89</v>
      </c>
      <c r="H29">
        <v>137.4</v>
      </c>
      <c r="I29">
        <v>153.52000000000001</v>
      </c>
      <c r="J29">
        <v>49.83</v>
      </c>
      <c r="K29">
        <v>27.38</v>
      </c>
      <c r="L29">
        <v>137.34</v>
      </c>
      <c r="M29">
        <v>52.12</v>
      </c>
      <c r="N29">
        <v>37.68</v>
      </c>
      <c r="O29">
        <v>41.69</v>
      </c>
      <c r="P29">
        <v>81.99</v>
      </c>
      <c r="Q29">
        <v>4540.32</v>
      </c>
      <c r="R29">
        <v>2.75</v>
      </c>
    </row>
    <row r="30" spans="1:18" x14ac:dyDescent="0.3">
      <c r="A30" s="1">
        <v>44566</v>
      </c>
      <c r="B30">
        <v>156.71</v>
      </c>
      <c r="C30">
        <v>277.70999999999998</v>
      </c>
      <c r="D30">
        <v>122.4</v>
      </c>
      <c r="E30">
        <v>113.4</v>
      </c>
      <c r="F30">
        <v>180.47</v>
      </c>
      <c r="G30">
        <v>51.65</v>
      </c>
      <c r="H30">
        <v>119.88</v>
      </c>
      <c r="I30">
        <v>161.6</v>
      </c>
      <c r="J30">
        <v>43.72</v>
      </c>
      <c r="K30">
        <v>18.54</v>
      </c>
      <c r="L30">
        <v>111.71</v>
      </c>
      <c r="M30">
        <v>47.68</v>
      </c>
      <c r="N30">
        <v>19.170000000000002</v>
      </c>
      <c r="O30">
        <v>36.03</v>
      </c>
      <c r="P30">
        <v>85.01</v>
      </c>
      <c r="Q30">
        <v>4130.6099999999997</v>
      </c>
      <c r="R30">
        <v>2.9</v>
      </c>
    </row>
    <row r="31" spans="1:18" x14ac:dyDescent="0.3">
      <c r="A31" s="1">
        <v>44567</v>
      </c>
      <c r="B31">
        <v>149.9</v>
      </c>
      <c r="C31">
        <v>275.19</v>
      </c>
      <c r="D31">
        <v>122.26</v>
      </c>
      <c r="E31">
        <v>114.86</v>
      </c>
      <c r="F31">
        <v>179.15</v>
      </c>
      <c r="G31">
        <v>42.83</v>
      </c>
      <c r="H31">
        <v>132.87</v>
      </c>
      <c r="I31">
        <v>148</v>
      </c>
      <c r="J31">
        <v>44.77</v>
      </c>
      <c r="K31">
        <v>18.72</v>
      </c>
      <c r="L31">
        <v>112.01</v>
      </c>
      <c r="M31">
        <v>53.25</v>
      </c>
      <c r="N31">
        <v>19.87</v>
      </c>
      <c r="O31">
        <v>37.46</v>
      </c>
      <c r="P31">
        <v>97.02</v>
      </c>
      <c r="Q31">
        <v>4149.78</v>
      </c>
      <c r="R31">
        <v>3.14</v>
      </c>
    </row>
    <row r="32" spans="1:18" x14ac:dyDescent="0.3">
      <c r="A32" s="1">
        <v>44568</v>
      </c>
      <c r="B32">
        <v>136.04</v>
      </c>
      <c r="C32">
        <v>256.39</v>
      </c>
      <c r="D32">
        <v>106.29</v>
      </c>
      <c r="E32">
        <v>107.93</v>
      </c>
      <c r="F32">
        <v>177.45</v>
      </c>
      <c r="G32">
        <v>40.65</v>
      </c>
      <c r="H32">
        <v>112.65</v>
      </c>
      <c r="I32">
        <v>144.24</v>
      </c>
      <c r="J32">
        <v>37.090000000000003</v>
      </c>
      <c r="K32">
        <v>14.9</v>
      </c>
      <c r="L32">
        <v>94.24</v>
      </c>
      <c r="M32">
        <v>52.04</v>
      </c>
      <c r="N32">
        <v>17.649999999999999</v>
      </c>
      <c r="O32">
        <v>30.98</v>
      </c>
      <c r="P32">
        <v>86.74</v>
      </c>
      <c r="Q32">
        <v>3781</v>
      </c>
      <c r="R32">
        <v>2.9</v>
      </c>
    </row>
    <row r="33" spans="1:18" x14ac:dyDescent="0.3">
      <c r="A33" s="1">
        <v>44569</v>
      </c>
      <c r="B33">
        <v>161.01</v>
      </c>
      <c r="C33">
        <v>277.82</v>
      </c>
      <c r="D33">
        <v>134.96</v>
      </c>
      <c r="E33">
        <v>115.3</v>
      </c>
      <c r="F33">
        <v>174.17</v>
      </c>
      <c r="G33">
        <v>43.69</v>
      </c>
      <c r="H33">
        <v>114.5</v>
      </c>
      <c r="I33">
        <v>138.34</v>
      </c>
      <c r="J33">
        <v>36.049999999999997</v>
      </c>
      <c r="K33">
        <v>18.18</v>
      </c>
      <c r="L33">
        <v>104.87</v>
      </c>
      <c r="M33">
        <v>50.32</v>
      </c>
      <c r="N33">
        <v>22.31</v>
      </c>
      <c r="O33">
        <v>33.619999999999997</v>
      </c>
      <c r="P33">
        <v>94.79</v>
      </c>
      <c r="Q33">
        <v>4112.38</v>
      </c>
      <c r="R33">
        <v>2.78</v>
      </c>
    </row>
    <row r="34" spans="1:18" x14ac:dyDescent="0.3">
      <c r="A34" s="1">
        <v>44570</v>
      </c>
      <c r="B34">
        <v>156.63999999999999</v>
      </c>
      <c r="C34">
        <v>258.87</v>
      </c>
      <c r="D34">
        <v>126</v>
      </c>
      <c r="E34">
        <v>108.28</v>
      </c>
      <c r="F34">
        <v>161.49</v>
      </c>
      <c r="G34">
        <v>44.18</v>
      </c>
      <c r="H34">
        <v>113.29</v>
      </c>
      <c r="I34">
        <v>137.83000000000001</v>
      </c>
      <c r="J34">
        <v>31.57</v>
      </c>
      <c r="K34">
        <v>14.21</v>
      </c>
      <c r="L34">
        <v>111.79</v>
      </c>
      <c r="M34">
        <v>45.14</v>
      </c>
      <c r="N34">
        <v>22.07</v>
      </c>
      <c r="O34">
        <v>33.340000000000003</v>
      </c>
      <c r="P34">
        <v>94.42</v>
      </c>
      <c r="Q34">
        <v>3936.73</v>
      </c>
      <c r="R34">
        <v>3.52</v>
      </c>
    </row>
    <row r="35" spans="1:18" x14ac:dyDescent="0.3">
      <c r="A35" s="1">
        <v>44571</v>
      </c>
      <c r="B35">
        <v>138.21</v>
      </c>
      <c r="C35">
        <v>235.41</v>
      </c>
      <c r="D35">
        <v>113.58</v>
      </c>
      <c r="E35">
        <v>96.76</v>
      </c>
      <c r="F35">
        <v>164.29</v>
      </c>
      <c r="G35">
        <v>43.41</v>
      </c>
      <c r="H35">
        <v>105.62</v>
      </c>
      <c r="I35">
        <v>127.25</v>
      </c>
      <c r="J35">
        <v>26.33</v>
      </c>
      <c r="K35">
        <v>12.35</v>
      </c>
      <c r="L35">
        <v>95.73</v>
      </c>
      <c r="M35">
        <v>44.07</v>
      </c>
      <c r="N35">
        <v>23.78</v>
      </c>
      <c r="O35">
        <v>30.59</v>
      </c>
      <c r="P35">
        <v>90.04</v>
      </c>
      <c r="Q35">
        <v>3609.78</v>
      </c>
      <c r="R35">
        <v>3.98</v>
      </c>
    </row>
    <row r="36" spans="1:18" x14ac:dyDescent="0.3">
      <c r="A36" s="1">
        <v>44572</v>
      </c>
      <c r="B36">
        <v>155.08000000000001</v>
      </c>
      <c r="C36">
        <v>234.6</v>
      </c>
      <c r="D36">
        <v>103.99</v>
      </c>
      <c r="E36">
        <v>95.45</v>
      </c>
      <c r="F36">
        <v>174.06</v>
      </c>
      <c r="G36">
        <v>47.66</v>
      </c>
      <c r="H36">
        <v>126.87</v>
      </c>
      <c r="I36">
        <v>134.69999999999999</v>
      </c>
      <c r="J36">
        <v>28.8</v>
      </c>
      <c r="K36">
        <v>13.81</v>
      </c>
      <c r="L36">
        <v>107.7</v>
      </c>
      <c r="M36">
        <v>48</v>
      </c>
      <c r="N36">
        <v>29.62</v>
      </c>
      <c r="O36">
        <v>36.44</v>
      </c>
      <c r="P36">
        <v>112.37</v>
      </c>
      <c r="Q36">
        <v>3901.79</v>
      </c>
      <c r="R36">
        <v>3.89</v>
      </c>
    </row>
    <row r="37" spans="1:18" x14ac:dyDescent="0.3">
      <c r="A37" s="1">
        <v>44573</v>
      </c>
      <c r="B37">
        <v>148.21</v>
      </c>
      <c r="C37">
        <v>253.87</v>
      </c>
      <c r="D37">
        <v>96.99</v>
      </c>
      <c r="E37">
        <v>101.02</v>
      </c>
      <c r="F37">
        <v>179</v>
      </c>
      <c r="G37">
        <v>50.68</v>
      </c>
      <c r="H37">
        <v>138.18</v>
      </c>
      <c r="I37">
        <v>149.53</v>
      </c>
      <c r="J37">
        <v>30.24</v>
      </c>
      <c r="K37">
        <v>17</v>
      </c>
      <c r="L37">
        <v>97.87</v>
      </c>
      <c r="M37">
        <v>50.31</v>
      </c>
      <c r="N37">
        <v>30.4</v>
      </c>
      <c r="O37">
        <v>37.5</v>
      </c>
      <c r="P37">
        <v>111.64</v>
      </c>
      <c r="Q37">
        <v>4087.14</v>
      </c>
      <c r="R37">
        <v>3.62</v>
      </c>
    </row>
    <row r="38" spans="1:18" x14ac:dyDescent="0.3">
      <c r="A38" s="1">
        <v>44927</v>
      </c>
      <c r="B38">
        <v>130.28</v>
      </c>
      <c r="C38">
        <v>243.08</v>
      </c>
      <c r="D38">
        <v>85.46</v>
      </c>
      <c r="E38">
        <v>89.58</v>
      </c>
      <c r="F38">
        <v>176.16</v>
      </c>
      <c r="G38">
        <v>47.52</v>
      </c>
      <c r="H38">
        <v>135.24</v>
      </c>
      <c r="I38">
        <v>150.94999999999999</v>
      </c>
      <c r="J38">
        <v>27.05</v>
      </c>
      <c r="K38">
        <v>14.85</v>
      </c>
      <c r="L38">
        <v>88.98</v>
      </c>
      <c r="M38">
        <v>51.01</v>
      </c>
      <c r="N38">
        <v>29.81</v>
      </c>
      <c r="O38">
        <v>33.229999999999997</v>
      </c>
      <c r="P38">
        <v>109.78</v>
      </c>
      <c r="Q38">
        <v>3853.29</v>
      </c>
      <c r="R38">
        <v>3.53</v>
      </c>
    </row>
    <row r="39" spans="1:18" x14ac:dyDescent="0.3">
      <c r="A39" s="1">
        <v>44928</v>
      </c>
      <c r="B39">
        <v>143.97</v>
      </c>
      <c r="C39">
        <v>248</v>
      </c>
      <c r="D39">
        <v>102.53</v>
      </c>
      <c r="E39">
        <v>98.71</v>
      </c>
      <c r="F39">
        <v>162.99</v>
      </c>
      <c r="G39">
        <v>47.89</v>
      </c>
      <c r="H39">
        <v>138.21</v>
      </c>
      <c r="I39">
        <v>142.08000000000001</v>
      </c>
      <c r="J39">
        <v>27.89</v>
      </c>
      <c r="K39">
        <v>19.690000000000001</v>
      </c>
      <c r="L39">
        <v>108.5</v>
      </c>
      <c r="M39">
        <v>43.9</v>
      </c>
      <c r="N39">
        <v>35.39</v>
      </c>
      <c r="O39">
        <v>35.200000000000003</v>
      </c>
      <c r="P39">
        <v>115.83</v>
      </c>
      <c r="Q39">
        <v>4070.07</v>
      </c>
      <c r="R39">
        <v>3.75</v>
      </c>
    </row>
    <row r="40" spans="1:18" x14ac:dyDescent="0.3">
      <c r="A40" s="1">
        <v>44929</v>
      </c>
      <c r="B40">
        <v>146.83000000000001</v>
      </c>
      <c r="C40">
        <v>250.76</v>
      </c>
      <c r="D40">
        <v>93.87</v>
      </c>
      <c r="E40">
        <v>89.98</v>
      </c>
      <c r="F40">
        <v>153.01</v>
      </c>
      <c r="G40">
        <v>47.02</v>
      </c>
      <c r="H40">
        <v>142.1</v>
      </c>
      <c r="I40">
        <v>138.05000000000001</v>
      </c>
      <c r="J40">
        <v>25.03</v>
      </c>
      <c r="K40">
        <v>23.19</v>
      </c>
      <c r="L40">
        <v>99.19</v>
      </c>
      <c r="M40">
        <v>40.56</v>
      </c>
      <c r="N40">
        <v>32.15</v>
      </c>
      <c r="O40">
        <v>34.15</v>
      </c>
      <c r="P40">
        <v>109.31</v>
      </c>
      <c r="Q40">
        <v>3963.34</v>
      </c>
      <c r="R40">
        <v>3.66</v>
      </c>
    </row>
    <row r="41" spans="1:18" x14ac:dyDescent="0.3">
      <c r="A41" s="1">
        <v>44930</v>
      </c>
      <c r="B41">
        <v>164.27</v>
      </c>
      <c r="C41">
        <v>286.52</v>
      </c>
      <c r="D41">
        <v>102.3</v>
      </c>
      <c r="E41">
        <v>102.39</v>
      </c>
      <c r="F41">
        <v>154.94999999999999</v>
      </c>
      <c r="G41">
        <v>49.24</v>
      </c>
      <c r="H41">
        <v>129.91</v>
      </c>
      <c r="I41">
        <v>148.43</v>
      </c>
      <c r="J41">
        <v>32.94</v>
      </c>
      <c r="K41">
        <v>27.51</v>
      </c>
      <c r="L41">
        <v>100.21</v>
      </c>
      <c r="M41">
        <v>40.69</v>
      </c>
      <c r="N41">
        <v>34.18</v>
      </c>
      <c r="O41">
        <v>28.64</v>
      </c>
      <c r="P41">
        <v>113.39</v>
      </c>
      <c r="Q41">
        <v>4102.2</v>
      </c>
      <c r="R41">
        <v>3.46</v>
      </c>
    </row>
    <row r="42" spans="1:18" x14ac:dyDescent="0.3">
      <c r="A42" s="1">
        <v>44931</v>
      </c>
      <c r="B42">
        <v>169.28</v>
      </c>
      <c r="C42">
        <v>306.97000000000003</v>
      </c>
      <c r="D42">
        <v>104.95</v>
      </c>
      <c r="E42">
        <v>106.84</v>
      </c>
      <c r="F42">
        <v>163.6</v>
      </c>
      <c r="G42">
        <v>50.35</v>
      </c>
      <c r="H42">
        <v>142.26</v>
      </c>
      <c r="I42">
        <v>156.03</v>
      </c>
      <c r="J42">
        <v>31.11</v>
      </c>
      <c r="K42">
        <v>27.84</v>
      </c>
      <c r="L42">
        <v>102.4</v>
      </c>
      <c r="M42">
        <v>39</v>
      </c>
      <c r="N42">
        <v>32.94</v>
      </c>
      <c r="O42">
        <v>29.5</v>
      </c>
      <c r="P42">
        <v>115.99</v>
      </c>
      <c r="Q42">
        <v>4166.79</v>
      </c>
      <c r="R42">
        <v>3.57</v>
      </c>
    </row>
    <row r="43" spans="1:18" x14ac:dyDescent="0.3">
      <c r="A43" s="1">
        <v>44932</v>
      </c>
      <c r="B43">
        <v>177.7</v>
      </c>
      <c r="C43">
        <v>325.93</v>
      </c>
      <c r="D43">
        <v>120.69</v>
      </c>
      <c r="E43">
        <v>122.82</v>
      </c>
      <c r="F43">
        <v>154.54</v>
      </c>
      <c r="G43">
        <v>48.74</v>
      </c>
      <c r="H43">
        <v>136.52000000000001</v>
      </c>
      <c r="I43">
        <v>143.25</v>
      </c>
      <c r="J43">
        <v>31.8</v>
      </c>
      <c r="K43">
        <v>38.49</v>
      </c>
      <c r="L43">
        <v>88.4</v>
      </c>
      <c r="M43">
        <v>38.119999999999997</v>
      </c>
      <c r="N43">
        <v>39.74</v>
      </c>
      <c r="O43">
        <v>27.76</v>
      </c>
      <c r="P43">
        <v>101.75</v>
      </c>
      <c r="Q43">
        <v>4183.03</v>
      </c>
      <c r="R43">
        <v>3.75</v>
      </c>
    </row>
    <row r="44" spans="1:18" x14ac:dyDescent="0.3">
      <c r="A44" s="1">
        <v>44933</v>
      </c>
      <c r="B44">
        <v>193.78</v>
      </c>
      <c r="C44">
        <v>339.19</v>
      </c>
      <c r="D44">
        <v>130.82</v>
      </c>
      <c r="E44">
        <v>119.24</v>
      </c>
      <c r="F44">
        <v>164.34</v>
      </c>
      <c r="G44">
        <v>52.27</v>
      </c>
      <c r="H44">
        <v>146.19</v>
      </c>
      <c r="I44">
        <v>151.47999999999999</v>
      </c>
      <c r="J44">
        <v>33.54</v>
      </c>
      <c r="K44">
        <v>42.52</v>
      </c>
      <c r="L44">
        <v>89.11</v>
      </c>
      <c r="M44">
        <v>36.5</v>
      </c>
      <c r="N44">
        <v>43.98</v>
      </c>
      <c r="O44">
        <v>28.7</v>
      </c>
      <c r="P44">
        <v>107.49</v>
      </c>
      <c r="Q44">
        <v>4450.4799999999996</v>
      </c>
      <c r="R44">
        <v>3.9</v>
      </c>
    </row>
    <row r="45" spans="1:18" x14ac:dyDescent="0.3">
      <c r="A45" s="1">
        <v>44934</v>
      </c>
      <c r="B45">
        <v>196.24</v>
      </c>
      <c r="C45">
        <v>335.19</v>
      </c>
      <c r="D45">
        <v>133.55000000000001</v>
      </c>
      <c r="E45">
        <v>130.77000000000001</v>
      </c>
      <c r="F45">
        <v>166.37</v>
      </c>
      <c r="G45">
        <v>53.32</v>
      </c>
      <c r="H45">
        <v>157.43</v>
      </c>
      <c r="I45">
        <v>155.88</v>
      </c>
      <c r="J45">
        <v>35.82</v>
      </c>
      <c r="K45">
        <v>46.46</v>
      </c>
      <c r="L45">
        <v>89.12</v>
      </c>
      <c r="M45">
        <v>35.880000000000003</v>
      </c>
      <c r="N45">
        <v>43.74</v>
      </c>
      <c r="O45">
        <v>31.84</v>
      </c>
      <c r="P45">
        <v>106.95</v>
      </c>
      <c r="Q45">
        <v>4578.83</v>
      </c>
      <c r="R45">
        <v>4.17</v>
      </c>
    </row>
    <row r="46" spans="1:18" x14ac:dyDescent="0.3">
      <c r="A46" s="1">
        <v>44935</v>
      </c>
      <c r="B46">
        <v>189.49</v>
      </c>
      <c r="C46">
        <v>331.31</v>
      </c>
      <c r="D46">
        <v>139.46</v>
      </c>
      <c r="E46">
        <v>137.46</v>
      </c>
      <c r="F46">
        <v>161.41999999999999</v>
      </c>
      <c r="G46">
        <v>54.29</v>
      </c>
      <c r="H46">
        <v>146.09</v>
      </c>
      <c r="I46">
        <v>154.9</v>
      </c>
      <c r="J46">
        <v>35.79</v>
      </c>
      <c r="K46">
        <v>49.76</v>
      </c>
      <c r="L46">
        <v>82.11</v>
      </c>
      <c r="M46">
        <v>35.64</v>
      </c>
      <c r="N46">
        <v>43.77</v>
      </c>
      <c r="O46">
        <v>28.76</v>
      </c>
      <c r="P46">
        <v>112.2</v>
      </c>
      <c r="Q46">
        <v>4530.6000000000004</v>
      </c>
      <c r="R46">
        <v>4.38</v>
      </c>
    </row>
    <row r="47" spans="1:18" x14ac:dyDescent="0.3">
      <c r="A47" s="1">
        <v>44936</v>
      </c>
      <c r="B47">
        <v>171.22</v>
      </c>
      <c r="C47">
        <v>316.27999999999997</v>
      </c>
      <c r="D47">
        <v>127.28</v>
      </c>
      <c r="E47">
        <v>131.21</v>
      </c>
      <c r="F47">
        <v>155.41999999999999</v>
      </c>
      <c r="G47">
        <v>53.16</v>
      </c>
      <c r="H47">
        <v>144.83000000000001</v>
      </c>
      <c r="I47">
        <v>144.78</v>
      </c>
      <c r="J47">
        <v>35.61</v>
      </c>
      <c r="K47">
        <v>44.03</v>
      </c>
      <c r="L47">
        <v>80.92</v>
      </c>
      <c r="M47">
        <v>32.950000000000003</v>
      </c>
      <c r="N47">
        <v>37.75</v>
      </c>
      <c r="O47">
        <v>27.27</v>
      </c>
      <c r="P47">
        <v>117.53</v>
      </c>
      <c r="Q47">
        <v>4284.5200000000004</v>
      </c>
      <c r="R47">
        <v>4.8</v>
      </c>
    </row>
    <row r="48" spans="1:18" x14ac:dyDescent="0.3">
      <c r="A48" s="1">
        <v>44937</v>
      </c>
      <c r="B48">
        <v>171</v>
      </c>
      <c r="C48">
        <v>339.79</v>
      </c>
      <c r="D48">
        <v>133.96</v>
      </c>
      <c r="E48">
        <v>124.07</v>
      </c>
      <c r="F48">
        <v>149.19</v>
      </c>
      <c r="G48">
        <v>54.74</v>
      </c>
      <c r="H48">
        <v>139.25</v>
      </c>
      <c r="I48">
        <v>150.68</v>
      </c>
      <c r="J48">
        <v>36.5</v>
      </c>
      <c r="K48">
        <v>40.880000000000003</v>
      </c>
      <c r="L48">
        <v>81.53</v>
      </c>
      <c r="M48">
        <v>30.56</v>
      </c>
      <c r="N48">
        <v>41.48</v>
      </c>
      <c r="O48">
        <v>26.44</v>
      </c>
      <c r="P48">
        <v>106.53</v>
      </c>
      <c r="Q48">
        <v>4201.2700000000004</v>
      </c>
      <c r="R48">
        <v>4.49</v>
      </c>
    </row>
    <row r="49" spans="1:18" x14ac:dyDescent="0.3">
      <c r="A49" s="1">
        <v>44938</v>
      </c>
      <c r="B49">
        <v>190.33</v>
      </c>
      <c r="C49">
        <v>376.76</v>
      </c>
      <c r="D49">
        <v>146</v>
      </c>
      <c r="E49">
        <v>131.86000000000001</v>
      </c>
      <c r="F49">
        <v>156.44</v>
      </c>
      <c r="G49">
        <v>51.79</v>
      </c>
      <c r="H49">
        <v>155.82</v>
      </c>
      <c r="I49">
        <v>153.33000000000001</v>
      </c>
      <c r="J49">
        <v>44.36</v>
      </c>
      <c r="K49">
        <v>46.53</v>
      </c>
      <c r="L49">
        <v>92.74</v>
      </c>
      <c r="M49">
        <v>28.97</v>
      </c>
      <c r="N49">
        <v>47.32</v>
      </c>
      <c r="O49">
        <v>30.4</v>
      </c>
      <c r="P49">
        <v>102.5</v>
      </c>
      <c r="Q49">
        <v>4559.43</v>
      </c>
      <c r="R49">
        <v>3.88</v>
      </c>
    </row>
    <row r="50" spans="1:18" x14ac:dyDescent="0.3">
      <c r="A50" s="1">
        <v>45292</v>
      </c>
      <c r="B50">
        <v>187.15</v>
      </c>
      <c r="C50">
        <v>373.86</v>
      </c>
      <c r="D50">
        <v>151.54</v>
      </c>
      <c r="E50">
        <v>138.55000000000001</v>
      </c>
      <c r="F50">
        <v>156.93</v>
      </c>
      <c r="G50">
        <v>52.42</v>
      </c>
      <c r="H50">
        <v>169.09</v>
      </c>
      <c r="I50">
        <v>146.36000000000001</v>
      </c>
      <c r="J50">
        <v>49.2</v>
      </c>
      <c r="K50">
        <v>49.24</v>
      </c>
      <c r="L50">
        <v>90.1</v>
      </c>
      <c r="M50">
        <v>28.88</v>
      </c>
      <c r="N50">
        <v>48.32</v>
      </c>
      <c r="O50">
        <v>33.39</v>
      </c>
      <c r="P50">
        <v>100.92</v>
      </c>
      <c r="Q50">
        <v>4745.2</v>
      </c>
      <c r="R50">
        <v>3.95</v>
      </c>
    </row>
    <row r="51" spans="1:18" x14ac:dyDescent="0.3">
      <c r="A51" s="1">
        <v>45293</v>
      </c>
      <c r="B51">
        <v>183.99</v>
      </c>
      <c r="C51">
        <v>401.83</v>
      </c>
      <c r="D51">
        <v>155.87</v>
      </c>
      <c r="E51">
        <v>142.12</v>
      </c>
      <c r="F51">
        <v>158.16</v>
      </c>
      <c r="G51">
        <v>55.23</v>
      </c>
      <c r="H51">
        <v>173.64</v>
      </c>
      <c r="I51">
        <v>156.77000000000001</v>
      </c>
      <c r="J51">
        <v>43.15</v>
      </c>
      <c r="K51">
        <v>62.1</v>
      </c>
      <c r="L51">
        <v>96.37</v>
      </c>
      <c r="M51">
        <v>27.1</v>
      </c>
      <c r="N51">
        <v>56.7</v>
      </c>
      <c r="O51">
        <v>33.93</v>
      </c>
      <c r="P51">
        <v>103.57</v>
      </c>
      <c r="Q51">
        <v>4861.1099999999997</v>
      </c>
      <c r="R51">
        <v>4.21</v>
      </c>
    </row>
    <row r="52" spans="1:18" x14ac:dyDescent="0.3">
      <c r="A52" s="1">
        <v>45294</v>
      </c>
      <c r="B52">
        <v>179.55</v>
      </c>
      <c r="C52">
        <v>411.27</v>
      </c>
      <c r="D52">
        <v>176.75</v>
      </c>
      <c r="E52">
        <v>138.43</v>
      </c>
      <c r="F52">
        <v>161.83000000000001</v>
      </c>
      <c r="G52">
        <v>58.8</v>
      </c>
      <c r="H52">
        <v>185.7</v>
      </c>
      <c r="I52">
        <v>158.05000000000001</v>
      </c>
      <c r="J52">
        <v>43.41</v>
      </c>
      <c r="K52">
        <v>80</v>
      </c>
      <c r="L52">
        <v>111.44</v>
      </c>
      <c r="M52">
        <v>26.83</v>
      </c>
      <c r="N52">
        <v>59.98</v>
      </c>
      <c r="O52">
        <v>34.53</v>
      </c>
      <c r="P52">
        <v>105.72</v>
      </c>
      <c r="Q52">
        <v>5098.51</v>
      </c>
      <c r="R52">
        <v>4.21</v>
      </c>
    </row>
    <row r="53" spans="1:18" x14ac:dyDescent="0.3">
      <c r="A53" s="1">
        <v>45295</v>
      </c>
      <c r="B53">
        <v>171.19</v>
      </c>
      <c r="C53">
        <v>423.95</v>
      </c>
      <c r="D53">
        <v>180.79</v>
      </c>
      <c r="E53">
        <v>150.69</v>
      </c>
      <c r="F53">
        <v>157.72</v>
      </c>
      <c r="G53">
        <v>60.31</v>
      </c>
      <c r="H53">
        <v>199.99</v>
      </c>
      <c r="I53">
        <v>161.78</v>
      </c>
      <c r="J53">
        <v>44.29</v>
      </c>
      <c r="K53">
        <v>90.3</v>
      </c>
      <c r="L53">
        <v>122.06</v>
      </c>
      <c r="M53">
        <v>27.76</v>
      </c>
      <c r="N53">
        <v>60.8</v>
      </c>
      <c r="O53">
        <v>37.94</v>
      </c>
      <c r="P53">
        <v>116.41</v>
      </c>
      <c r="Q53">
        <v>5257.97</v>
      </c>
      <c r="R53">
        <v>4.54</v>
      </c>
    </row>
    <row r="54" spans="1:18" x14ac:dyDescent="0.3">
      <c r="A54" s="1">
        <v>45296</v>
      </c>
      <c r="B54">
        <v>169.58</v>
      </c>
      <c r="C54">
        <v>392.61</v>
      </c>
      <c r="D54">
        <v>181.63</v>
      </c>
      <c r="E54">
        <v>164.3</v>
      </c>
      <c r="F54">
        <v>148.74</v>
      </c>
      <c r="G54">
        <v>59.31</v>
      </c>
      <c r="H54">
        <v>192.27</v>
      </c>
      <c r="I54">
        <v>163.28</v>
      </c>
      <c r="J54">
        <v>30.17</v>
      </c>
      <c r="K54">
        <v>85.08</v>
      </c>
      <c r="L54">
        <v>111.29</v>
      </c>
      <c r="M54">
        <v>26.33</v>
      </c>
      <c r="N54">
        <v>54.78</v>
      </c>
      <c r="O54">
        <v>37.21</v>
      </c>
      <c r="P54">
        <v>118.28</v>
      </c>
      <c r="Q54">
        <v>5029.03</v>
      </c>
      <c r="R54">
        <v>4.4800000000000004</v>
      </c>
    </row>
    <row r="55" spans="1:18" x14ac:dyDescent="0.3">
      <c r="A55" s="1">
        <v>45297</v>
      </c>
      <c r="B55">
        <v>192.9</v>
      </c>
      <c r="C55">
        <v>415.52</v>
      </c>
      <c r="D55">
        <v>177.7</v>
      </c>
      <c r="E55">
        <v>172.54</v>
      </c>
      <c r="F55">
        <v>147.25</v>
      </c>
      <c r="G55">
        <v>65.510000000000005</v>
      </c>
      <c r="H55">
        <v>202.31</v>
      </c>
      <c r="I55">
        <v>163.93</v>
      </c>
      <c r="J55">
        <v>31.03</v>
      </c>
      <c r="K55">
        <v>113.62</v>
      </c>
      <c r="L55">
        <v>104.17</v>
      </c>
      <c r="M55">
        <v>28.66</v>
      </c>
      <c r="N55">
        <v>64.52</v>
      </c>
      <c r="O55">
        <v>40.04</v>
      </c>
      <c r="P55">
        <v>116.3</v>
      </c>
      <c r="Q55">
        <v>5297.15</v>
      </c>
      <c r="R55">
        <v>4.3099999999999996</v>
      </c>
    </row>
    <row r="56" spans="1:18" x14ac:dyDescent="0.3">
      <c r="A56" s="1">
        <v>45298</v>
      </c>
      <c r="B56">
        <v>212.09</v>
      </c>
      <c r="C56">
        <v>448.66</v>
      </c>
      <c r="D56">
        <v>193.49</v>
      </c>
      <c r="E56">
        <v>183.03</v>
      </c>
      <c r="F56">
        <v>146.07</v>
      </c>
      <c r="G56">
        <v>67.89</v>
      </c>
      <c r="H56">
        <v>202.84</v>
      </c>
      <c r="I56">
        <v>165.59</v>
      </c>
      <c r="J56">
        <v>30.91</v>
      </c>
      <c r="K56">
        <v>123.47</v>
      </c>
      <c r="L56">
        <v>99.4</v>
      </c>
      <c r="M56">
        <v>27.95</v>
      </c>
      <c r="N56">
        <v>67.489999999999995</v>
      </c>
      <c r="O56">
        <v>39.909999999999997</v>
      </c>
      <c r="P56">
        <v>115.71</v>
      </c>
      <c r="Q56">
        <v>5471.08</v>
      </c>
      <c r="R56">
        <v>4.2300000000000004</v>
      </c>
    </row>
    <row r="57" spans="1:18" x14ac:dyDescent="0.3">
      <c r="A57" s="1">
        <v>45299</v>
      </c>
      <c r="B57">
        <v>224.37</v>
      </c>
      <c r="C57">
        <v>420.79</v>
      </c>
      <c r="D57">
        <v>189.29</v>
      </c>
      <c r="E57">
        <v>170.25</v>
      </c>
      <c r="F57">
        <v>158.47999999999999</v>
      </c>
      <c r="G57">
        <v>68.91</v>
      </c>
      <c r="H57">
        <v>213.2</v>
      </c>
      <c r="I57">
        <v>160.88</v>
      </c>
      <c r="J57">
        <v>30.43</v>
      </c>
      <c r="K57">
        <v>117.53</v>
      </c>
      <c r="L57">
        <v>93.86</v>
      </c>
      <c r="M57">
        <v>30.72</v>
      </c>
      <c r="N57">
        <v>62.92</v>
      </c>
      <c r="O57">
        <v>40.44</v>
      </c>
      <c r="P57">
        <v>118.35</v>
      </c>
      <c r="Q57">
        <v>5537.84</v>
      </c>
      <c r="R57">
        <v>4.1100000000000003</v>
      </c>
    </row>
    <row r="58" spans="1:18" x14ac:dyDescent="0.3">
      <c r="A58" s="1">
        <v>45300</v>
      </c>
      <c r="B58">
        <v>228.55</v>
      </c>
      <c r="C58">
        <v>417.91</v>
      </c>
      <c r="D58">
        <v>177.55</v>
      </c>
      <c r="E58">
        <v>161.72</v>
      </c>
      <c r="F58">
        <v>165.24</v>
      </c>
      <c r="G58">
        <v>77.33</v>
      </c>
      <c r="H58">
        <v>222.3</v>
      </c>
      <c r="I58">
        <v>171.03</v>
      </c>
      <c r="J58">
        <v>21.54</v>
      </c>
      <c r="K58">
        <v>116.01</v>
      </c>
      <c r="L58">
        <v>89.61</v>
      </c>
      <c r="M58">
        <v>28.65</v>
      </c>
      <c r="N58">
        <v>70.010000000000005</v>
      </c>
      <c r="O58">
        <v>40.58</v>
      </c>
      <c r="P58">
        <v>115.84</v>
      </c>
      <c r="Q58">
        <v>5623.89</v>
      </c>
      <c r="R58">
        <v>4.03</v>
      </c>
    </row>
    <row r="59" spans="1:18" x14ac:dyDescent="0.3">
      <c r="A59" s="1">
        <v>45301</v>
      </c>
      <c r="B59">
        <v>229.52</v>
      </c>
      <c r="C59">
        <v>428.45</v>
      </c>
      <c r="D59">
        <v>184.9</v>
      </c>
      <c r="E59">
        <v>167.68</v>
      </c>
      <c r="F59">
        <v>162.43</v>
      </c>
      <c r="G59">
        <v>80.680000000000007</v>
      </c>
      <c r="H59">
        <v>208.9</v>
      </c>
      <c r="I59">
        <v>173.24</v>
      </c>
      <c r="J59">
        <v>23.46</v>
      </c>
      <c r="K59">
        <v>121.76</v>
      </c>
      <c r="L59">
        <v>95.19</v>
      </c>
      <c r="M59">
        <v>29.05</v>
      </c>
      <c r="N59">
        <v>71.36</v>
      </c>
      <c r="O59">
        <v>39.51</v>
      </c>
      <c r="P59">
        <v>116.04</v>
      </c>
      <c r="Q59">
        <v>5757.73</v>
      </c>
      <c r="R59">
        <v>4.2</v>
      </c>
    </row>
    <row r="60" spans="1:18" x14ac:dyDescent="0.3">
      <c r="A60" s="1">
        <v>45302</v>
      </c>
      <c r="B60">
        <v>220.96</v>
      </c>
      <c r="C60">
        <v>409.01</v>
      </c>
      <c r="D60">
        <v>199</v>
      </c>
      <c r="E60">
        <v>170.07</v>
      </c>
      <c r="F60">
        <v>160.58000000000001</v>
      </c>
      <c r="G60">
        <v>82.53</v>
      </c>
      <c r="H60">
        <v>223.56</v>
      </c>
      <c r="I60">
        <v>165.31</v>
      </c>
      <c r="J60">
        <v>23</v>
      </c>
      <c r="K60">
        <v>134.69999999999999</v>
      </c>
      <c r="L60">
        <v>95.7</v>
      </c>
      <c r="M60">
        <v>28.48</v>
      </c>
      <c r="N60">
        <v>75.349999999999994</v>
      </c>
      <c r="O60">
        <v>42.15</v>
      </c>
      <c r="P60">
        <v>119.93</v>
      </c>
      <c r="Q60">
        <v>5723.22</v>
      </c>
      <c r="R60">
        <v>4.4400000000000004</v>
      </c>
    </row>
    <row r="61" spans="1:18" x14ac:dyDescent="0.3">
      <c r="A61" s="1">
        <v>45303</v>
      </c>
      <c r="B61">
        <v>237.27</v>
      </c>
      <c r="C61">
        <v>421.57</v>
      </c>
      <c r="D61">
        <v>209.96</v>
      </c>
      <c r="E61">
        <v>168.76</v>
      </c>
      <c r="F61">
        <v>154.75</v>
      </c>
      <c r="G61">
        <v>92.82</v>
      </c>
      <c r="H61">
        <v>249.55</v>
      </c>
      <c r="I61">
        <v>179.12</v>
      </c>
      <c r="J61">
        <v>24.84</v>
      </c>
      <c r="K61">
        <v>138.83000000000001</v>
      </c>
      <c r="L61">
        <v>117.78</v>
      </c>
      <c r="M61">
        <v>26.07</v>
      </c>
      <c r="N61">
        <v>88.75</v>
      </c>
      <c r="O61">
        <v>47.74</v>
      </c>
      <c r="P61">
        <v>118.05</v>
      </c>
      <c r="Q61">
        <v>6040.11</v>
      </c>
      <c r="R61">
        <v>4.25</v>
      </c>
    </row>
    <row r="62" spans="1:18" x14ac:dyDescent="0.3">
      <c r="A62" s="1">
        <v>45658</v>
      </c>
      <c r="B62">
        <v>248.93</v>
      </c>
      <c r="C62">
        <v>425.53</v>
      </c>
      <c r="D62">
        <v>222.03</v>
      </c>
      <c r="E62">
        <v>190.65</v>
      </c>
      <c r="F62">
        <v>145.22999999999999</v>
      </c>
      <c r="G62">
        <v>89.98</v>
      </c>
      <c r="H62">
        <v>240.92</v>
      </c>
      <c r="I62">
        <v>168.09</v>
      </c>
      <c r="J62">
        <v>20.23</v>
      </c>
      <c r="K62">
        <v>136</v>
      </c>
      <c r="L62">
        <v>111.7</v>
      </c>
      <c r="M62">
        <v>26.75</v>
      </c>
      <c r="N62">
        <v>89.55</v>
      </c>
      <c r="O62">
        <v>44.14</v>
      </c>
      <c r="P62">
        <v>108.28</v>
      </c>
      <c r="Q62">
        <v>5903.26</v>
      </c>
      <c r="R62">
        <v>4.13</v>
      </c>
    </row>
    <row r="63" spans="1:18" x14ac:dyDescent="0.3">
      <c r="A63" s="1">
        <v>45659</v>
      </c>
      <c r="B63">
        <v>229.99</v>
      </c>
      <c r="C63">
        <v>411.6</v>
      </c>
      <c r="D63">
        <v>234.06</v>
      </c>
      <c r="E63">
        <v>200.69</v>
      </c>
      <c r="F63">
        <v>152</v>
      </c>
      <c r="G63">
        <v>96.77</v>
      </c>
      <c r="H63">
        <v>261.83</v>
      </c>
      <c r="I63">
        <v>165.47</v>
      </c>
      <c r="J63">
        <v>18.97</v>
      </c>
      <c r="K63">
        <v>114.75</v>
      </c>
      <c r="L63">
        <v>111.35</v>
      </c>
      <c r="M63">
        <v>26.3</v>
      </c>
      <c r="N63">
        <v>97.3</v>
      </c>
      <c r="O63">
        <v>45.42</v>
      </c>
      <c r="P63">
        <v>106.64</v>
      </c>
      <c r="Q63">
        <v>5969.65</v>
      </c>
      <c r="R63">
        <v>4.2699999999999996</v>
      </c>
    </row>
    <row r="64" spans="1:18" x14ac:dyDescent="0.3">
      <c r="A64" s="1">
        <v>45660</v>
      </c>
      <c r="B64">
        <v>241.79</v>
      </c>
      <c r="C64">
        <v>398.82</v>
      </c>
      <c r="D64">
        <v>213.35</v>
      </c>
      <c r="E64">
        <v>171.93</v>
      </c>
      <c r="F64">
        <v>164.96</v>
      </c>
      <c r="G64">
        <v>97.98</v>
      </c>
      <c r="H64">
        <v>264</v>
      </c>
      <c r="I64">
        <v>173.58</v>
      </c>
      <c r="J64">
        <v>25</v>
      </c>
      <c r="K64">
        <v>123.51</v>
      </c>
      <c r="L64">
        <v>114.07</v>
      </c>
      <c r="M64">
        <v>26.37</v>
      </c>
      <c r="N64">
        <v>98.3</v>
      </c>
      <c r="O64">
        <v>46.21</v>
      </c>
      <c r="P64">
        <v>111.7</v>
      </c>
      <c r="Q64">
        <v>5968.33</v>
      </c>
      <c r="R64">
        <v>4.21</v>
      </c>
    </row>
    <row r="65" spans="1:18" x14ac:dyDescent="0.3">
      <c r="A65" s="1">
        <v>45661</v>
      </c>
      <c r="B65">
        <v>219.8</v>
      </c>
      <c r="C65">
        <v>374.65</v>
      </c>
      <c r="D65">
        <v>187.86</v>
      </c>
      <c r="E65">
        <v>153.62</v>
      </c>
      <c r="F65">
        <v>160.72999999999999</v>
      </c>
      <c r="G65">
        <v>87.54</v>
      </c>
      <c r="H65">
        <v>242.62</v>
      </c>
      <c r="I65">
        <v>170.57</v>
      </c>
      <c r="J65">
        <v>22.56</v>
      </c>
      <c r="K65">
        <v>108.51</v>
      </c>
      <c r="L65">
        <v>98.32</v>
      </c>
      <c r="M65">
        <v>25.29</v>
      </c>
      <c r="N65">
        <v>92.75</v>
      </c>
      <c r="O65">
        <v>41.32</v>
      </c>
      <c r="P65">
        <v>119.22</v>
      </c>
      <c r="Q65">
        <v>5597.53</v>
      </c>
      <c r="R65">
        <v>4.34</v>
      </c>
    </row>
    <row r="66" spans="1:18" x14ac:dyDescent="0.3">
      <c r="A66" s="1">
        <v>45662</v>
      </c>
      <c r="B66">
        <v>209.08</v>
      </c>
      <c r="C66">
        <v>431.11</v>
      </c>
      <c r="D66">
        <v>190.63</v>
      </c>
      <c r="E66">
        <v>160.44999999999999</v>
      </c>
      <c r="F66">
        <v>155</v>
      </c>
      <c r="G66">
        <v>97.01</v>
      </c>
      <c r="H66">
        <v>242.84</v>
      </c>
      <c r="I66">
        <v>160.65</v>
      </c>
      <c r="J66">
        <v>20.22</v>
      </c>
      <c r="K66">
        <v>113.08</v>
      </c>
      <c r="L66">
        <v>91.26</v>
      </c>
      <c r="M66">
        <v>24.3</v>
      </c>
      <c r="N66">
        <v>112.25</v>
      </c>
      <c r="O66">
        <v>39.82</v>
      </c>
      <c r="P66">
        <v>105.1</v>
      </c>
      <c r="Q66">
        <v>5625.14</v>
      </c>
      <c r="R66">
        <v>4.4800000000000004</v>
      </c>
    </row>
    <row r="67" spans="1:18" x14ac:dyDescent="0.3">
      <c r="A67" s="1">
        <v>45663</v>
      </c>
      <c r="B67">
        <v>200.28</v>
      </c>
      <c r="C67">
        <v>457.14</v>
      </c>
      <c r="D67">
        <v>204.98</v>
      </c>
      <c r="E67">
        <v>167.84</v>
      </c>
      <c r="F67">
        <v>154.47999999999999</v>
      </c>
      <c r="G67">
        <v>98.84</v>
      </c>
      <c r="H67">
        <v>263.02</v>
      </c>
      <c r="I67">
        <v>169.02</v>
      </c>
      <c r="J67">
        <v>19.48</v>
      </c>
      <c r="K67">
        <v>135.49</v>
      </c>
      <c r="L67">
        <v>112.68</v>
      </c>
      <c r="M67">
        <v>23.54</v>
      </c>
      <c r="N67">
        <v>120.12</v>
      </c>
      <c r="O67">
        <v>43.88</v>
      </c>
      <c r="P67">
        <v>103.75</v>
      </c>
      <c r="Q67">
        <v>5896.68</v>
      </c>
      <c r="R67">
        <v>4.3600000000000003</v>
      </c>
    </row>
    <row r="68" spans="1:18" x14ac:dyDescent="0.3">
      <c r="A68" s="1">
        <v>45664</v>
      </c>
      <c r="B68">
        <v>206.66</v>
      </c>
      <c r="C68">
        <v>496.47</v>
      </c>
      <c r="D68">
        <v>219.5</v>
      </c>
      <c r="E68">
        <v>175.74</v>
      </c>
      <c r="F68">
        <v>153</v>
      </c>
      <c r="G68">
        <v>97.6</v>
      </c>
      <c r="H68">
        <v>290.89</v>
      </c>
      <c r="I68">
        <v>159.88</v>
      </c>
      <c r="J68">
        <v>22.33</v>
      </c>
      <c r="K68">
        <v>156.29</v>
      </c>
      <c r="L68">
        <v>123.5</v>
      </c>
      <c r="M68">
        <v>24.27</v>
      </c>
      <c r="N68">
        <v>133.82</v>
      </c>
      <c r="O68">
        <v>47.02</v>
      </c>
      <c r="P68">
        <v>108.13</v>
      </c>
      <c r="Q68">
        <v>6187.25</v>
      </c>
      <c r="R68">
        <v>4.25</v>
      </c>
    </row>
    <row r="69" spans="1:18" x14ac:dyDescent="0.3">
      <c r="A69" s="1">
        <v>45665</v>
      </c>
      <c r="B69">
        <v>210.87</v>
      </c>
      <c r="C69">
        <v>535</v>
      </c>
      <c r="D69">
        <v>217.21</v>
      </c>
      <c r="E69">
        <v>189.02</v>
      </c>
      <c r="F69">
        <v>165.48</v>
      </c>
      <c r="G69">
        <v>98</v>
      </c>
      <c r="H69">
        <v>290.39999999999998</v>
      </c>
      <c r="I69">
        <v>151.77000000000001</v>
      </c>
      <c r="J69">
        <v>19.5</v>
      </c>
      <c r="K69">
        <v>174.09</v>
      </c>
      <c r="L69">
        <v>117.58</v>
      </c>
      <c r="M69">
        <v>23.3</v>
      </c>
      <c r="N69">
        <v>116.3</v>
      </c>
      <c r="O69">
        <v>46.36</v>
      </c>
      <c r="P69">
        <v>112</v>
      </c>
      <c r="Q69">
        <v>6287.28</v>
      </c>
      <c r="R69">
        <v>4.17</v>
      </c>
    </row>
    <row r="70" spans="1:18" x14ac:dyDescent="0.3">
      <c r="A70" s="1">
        <v>45666</v>
      </c>
      <c r="B70">
        <v>229.25</v>
      </c>
      <c r="C70">
        <v>500.46</v>
      </c>
      <c r="D70">
        <v>223.52</v>
      </c>
      <c r="E70">
        <v>208.44</v>
      </c>
      <c r="F70">
        <v>177.47</v>
      </c>
      <c r="G70">
        <v>97.23</v>
      </c>
      <c r="H70">
        <v>300.26</v>
      </c>
      <c r="I70">
        <v>157.36000000000001</v>
      </c>
      <c r="J70">
        <v>23.88</v>
      </c>
      <c r="K70">
        <v>170</v>
      </c>
      <c r="L70">
        <v>117.02</v>
      </c>
      <c r="M70">
        <v>24.73</v>
      </c>
      <c r="N70">
        <v>119.7</v>
      </c>
      <c r="O70">
        <v>50.22</v>
      </c>
      <c r="P70">
        <v>114.18</v>
      </c>
      <c r="Q70">
        <v>6401.51</v>
      </c>
      <c r="R70">
        <v>4.12</v>
      </c>
    </row>
    <row r="71" spans="1:18" x14ac:dyDescent="0.3">
      <c r="A71" s="1">
        <v>45667</v>
      </c>
      <c r="B71">
        <v>255.04</v>
      </c>
      <c r="C71">
        <v>514.79999999999995</v>
      </c>
      <c r="D71">
        <v>217.36</v>
      </c>
      <c r="E71">
        <v>240.75</v>
      </c>
      <c r="F71">
        <v>186</v>
      </c>
      <c r="G71">
        <v>102.56</v>
      </c>
      <c r="H71">
        <v>313.97000000000003</v>
      </c>
      <c r="I71">
        <v>153.69999999999999</v>
      </c>
      <c r="J71">
        <v>33.53</v>
      </c>
      <c r="K71">
        <v>185.24</v>
      </c>
      <c r="L71">
        <v>114.08</v>
      </c>
      <c r="M71">
        <v>25.97</v>
      </c>
      <c r="N71">
        <v>117.55</v>
      </c>
      <c r="O71">
        <v>51.3</v>
      </c>
      <c r="P71">
        <v>112.56</v>
      </c>
      <c r="Q71">
        <v>6664.92</v>
      </c>
      <c r="R71">
        <v>4.1900000000000004</v>
      </c>
    </row>
    <row r="72" spans="1:18" x14ac:dyDescent="0.3">
      <c r="A72" s="1">
        <v>45668</v>
      </c>
      <c r="B72">
        <v>270.42</v>
      </c>
      <c r="C72">
        <v>519.79999999999995</v>
      </c>
      <c r="D72">
        <v>255.36</v>
      </c>
      <c r="E72">
        <v>282.17</v>
      </c>
      <c r="F72">
        <v>189</v>
      </c>
      <c r="G72">
        <v>100.82</v>
      </c>
      <c r="H72">
        <v>311</v>
      </c>
      <c r="I72">
        <v>150.1</v>
      </c>
      <c r="J72">
        <v>40.25</v>
      </c>
      <c r="K72">
        <v>208.08</v>
      </c>
      <c r="L72">
        <v>112.55</v>
      </c>
      <c r="M72">
        <v>24.59</v>
      </c>
      <c r="N72">
        <v>113.32</v>
      </c>
      <c r="O72">
        <v>53.26</v>
      </c>
      <c r="P72">
        <v>114.5</v>
      </c>
      <c r="Q72">
        <v>6882.32</v>
      </c>
      <c r="R72">
        <v>4.28</v>
      </c>
    </row>
    <row r="73" spans="1:18" x14ac:dyDescent="0.3">
      <c r="A73" s="1">
        <v>45669</v>
      </c>
      <c r="B73">
        <v>278.01</v>
      </c>
      <c r="C73">
        <v>488.43</v>
      </c>
      <c r="D73">
        <v>233.22</v>
      </c>
      <c r="E73">
        <v>317.7</v>
      </c>
      <c r="F73">
        <v>206.5</v>
      </c>
      <c r="G73">
        <v>110.51</v>
      </c>
      <c r="H73">
        <v>312.95</v>
      </c>
      <c r="I73">
        <v>148.1</v>
      </c>
      <c r="J73">
        <v>39.86</v>
      </c>
      <c r="K73">
        <v>174.76</v>
      </c>
      <c r="L73">
        <v>104.92</v>
      </c>
      <c r="M73">
        <v>25.76</v>
      </c>
      <c r="N73">
        <v>106.51</v>
      </c>
      <c r="O73">
        <v>53.5</v>
      </c>
      <c r="P73">
        <v>116.1</v>
      </c>
      <c r="Q73">
        <v>6812.3</v>
      </c>
      <c r="R73">
        <v>4.22</v>
      </c>
    </row>
    <row r="74" spans="1:18" x14ac:dyDescent="0.3">
      <c r="A74" s="1">
        <v>46023</v>
      </c>
      <c r="B74">
        <v>272.26</v>
      </c>
      <c r="C74">
        <v>484.39</v>
      </c>
      <c r="D74">
        <v>231.34</v>
      </c>
      <c r="E74">
        <v>316.89999999999998</v>
      </c>
      <c r="F74">
        <v>206.82</v>
      </c>
      <c r="G74">
        <v>111.43</v>
      </c>
      <c r="H74">
        <v>322.5</v>
      </c>
      <c r="I74">
        <v>143.11000000000001</v>
      </c>
      <c r="J74">
        <v>37.770000000000003</v>
      </c>
      <c r="K74">
        <v>189.84</v>
      </c>
      <c r="L74">
        <v>113.44</v>
      </c>
      <c r="M74">
        <v>24.98</v>
      </c>
      <c r="N74">
        <v>94.13</v>
      </c>
      <c r="O74">
        <v>55.03</v>
      </c>
      <c r="P74">
        <v>120.09</v>
      </c>
      <c r="Q74">
        <v>6878.11</v>
      </c>
      <c r="R74">
        <v>4.1500000000000004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9C17-1198-499E-A804-7B8E0E8ECCC5}">
  <dimension ref="A1:R74"/>
  <sheetViews>
    <sheetView workbookViewId="0">
      <selection activeCell="U8" sqref="U8"/>
    </sheetView>
  </sheetViews>
  <sheetFormatPr defaultRowHeight="14.4" x14ac:dyDescent="0.3"/>
  <cols>
    <col min="1" max="1" width="9.33203125" bestFit="1" customWidth="1"/>
    <col min="3" max="3" width="10.77734375" bestFit="1" customWidth="1"/>
    <col min="4" max="4" width="12.77734375" bestFit="1" customWidth="1"/>
    <col min="5" max="5" width="11" bestFit="1" customWidth="1"/>
    <col min="6" max="6" width="19.77734375" bestFit="1" customWidth="1"/>
    <col min="8" max="8" width="22.109375" bestFit="1" customWidth="1"/>
    <col min="9" max="9" width="17.77734375" bestFit="1" customWidth="1"/>
    <col min="12" max="12" width="11.88671875" bestFit="1" customWidth="1"/>
    <col min="13" max="13" width="11.6640625" customWidth="1"/>
    <col min="14" max="14" width="7.5546875" bestFit="1" customWidth="1"/>
    <col min="15" max="15" width="16.109375" bestFit="1" customWidth="1"/>
    <col min="16" max="16" width="12.21875" bestFit="1" customWidth="1"/>
    <col min="18" max="18" width="8.33203125" bestFit="1" customWidth="1"/>
  </cols>
  <sheetData>
    <row r="1" spans="1:18" x14ac:dyDescent="0.3">
      <c r="A1" s="1" t="str">
        <f>'Stock Data'!A1</f>
        <v>Date</v>
      </c>
      <c r="B1" s="1" t="str">
        <f>'Stock Data'!B1</f>
        <v>APPLE</v>
      </c>
      <c r="C1" s="1" t="str">
        <f>'Stock Data'!C1</f>
        <v>MICROSOFT</v>
      </c>
      <c r="D1" s="1" t="str">
        <f>'Stock Data'!D1</f>
        <v>AMAZON,COM</v>
      </c>
      <c r="E1" s="1" t="str">
        <f>'Stock Data'!E1</f>
        <v>ALPHABET A</v>
      </c>
      <c r="F1" s="1" t="str">
        <f>'Stock Data'!F1</f>
        <v>JOHNSON &amp; JOHNSON</v>
      </c>
      <c r="G1" s="1" t="str">
        <f>'Stock Data'!G1</f>
        <v>WALMART</v>
      </c>
      <c r="H1" s="1" t="str">
        <f>'Stock Data'!H1</f>
        <v>JP MORGAN CHASE &amp; CO.</v>
      </c>
      <c r="I1" s="1" t="str">
        <f>'Stock Data'!I1</f>
        <v>PROCTER &amp; GAMBLE</v>
      </c>
      <c r="J1" s="1" t="str">
        <f>'Stock Data'!J1</f>
        <v>INTEL</v>
      </c>
      <c r="K1" s="1" t="str">
        <f>'Stock Data'!K1</f>
        <v>NVIDIA</v>
      </c>
      <c r="L1" s="1" t="str">
        <f>'Stock Data'!L1</f>
        <v>WALT DISNEY</v>
      </c>
      <c r="M1" s="1" t="str">
        <f>'Stock Data'!M1</f>
        <v>PFIZER</v>
      </c>
      <c r="N1" s="1" t="str">
        <f>'Stock Data'!N1</f>
        <v>NETFLIX</v>
      </c>
      <c r="O1" s="1" t="str">
        <f>'Stock Data'!O1</f>
        <v>BANK OF AMERICA</v>
      </c>
      <c r="P1" s="1" t="str">
        <f>'Stock Data'!P1</f>
        <v>EXXON MOBIL</v>
      </c>
      <c r="Q1" s="1" t="str">
        <f>'Stock Data'!Q1</f>
        <v>S&amp;P500</v>
      </c>
      <c r="R1" s="2" t="str">
        <f>'Stock Data'!R1</f>
        <v>Risk Free</v>
      </c>
    </row>
    <row r="2" spans="1:18" x14ac:dyDescent="0.3">
      <c r="A2" s="1">
        <f>'Stock Data'!A2</f>
        <v>43831</v>
      </c>
      <c r="R2" s="3">
        <f>'Stock Data'!R2/(100*12)</f>
        <v>1.4666666666666667E-3</v>
      </c>
    </row>
    <row r="3" spans="1:18" x14ac:dyDescent="0.3">
      <c r="A3" s="1">
        <f>'Stock Data'!A3</f>
        <v>43832</v>
      </c>
      <c r="B3">
        <f>LOG('Stock Data'!B3)-LOG('Stock Data'!B2)</f>
        <v>1.1629708541595285E-2</v>
      </c>
      <c r="C3">
        <f>LOG('Stock Data'!C3)-LOG('Stock Data'!C2)</f>
        <v>3.0750246388553837E-2</v>
      </c>
      <c r="D3">
        <f>LOG('Stock Data'!D3)-LOG('Stock Data'!D2)</f>
        <v>3.0324406155177508E-2</v>
      </c>
      <c r="E3">
        <f>LOG('Stock Data'!E3)-LOG('Stock Data'!E2)</f>
        <v>3.5009790495547088E-2</v>
      </c>
      <c r="F3">
        <f>LOG('Stock Data'!F3)-LOG('Stock Data'!F2)</f>
        <v>1.0442749118238837E-2</v>
      </c>
      <c r="G3">
        <f>LOG('Stock Data'!G3)-LOG('Stock Data'!G2)</f>
        <v>-1.4715697233905534E-2</v>
      </c>
      <c r="H3">
        <f>LOG('Stock Data'!H3)-LOG('Stock Data'!H2)</f>
        <v>-2.2736111922601943E-2</v>
      </c>
      <c r="I3">
        <f>LOG('Stock Data'!I3)-LOG('Stock Data'!I2)</f>
        <v>5.5777112422461528E-4</v>
      </c>
      <c r="J3">
        <f>LOG('Stock Data'!J3)-LOG('Stock Data'!J2)</f>
        <v>2.9337958496777672E-2</v>
      </c>
      <c r="K3">
        <f>LOG('Stock Data'!K3)-LOG('Stock Data'!K2)</f>
        <v>-5.8590363422674763E-3</v>
      </c>
      <c r="L3">
        <f>LOG('Stock Data'!L3)-LOG('Stock Data'!L2)</f>
        <v>-1.6759618881242666E-2</v>
      </c>
      <c r="M3">
        <f>LOG('Stock Data'!M3)-LOG('Stock Data'!M2)</f>
        <v>-2.0775604782696355E-2</v>
      </c>
      <c r="N3">
        <f>LOG('Stock Data'!N3)-LOG('Stock Data'!N2)</f>
        <v>2.7228917698497446E-2</v>
      </c>
      <c r="O3">
        <f>LOG('Stock Data'!O3)-LOG('Stock Data'!O2)</f>
        <v>-2.9875478255030785E-2</v>
      </c>
      <c r="P3">
        <f>LOG('Stock Data'!P3)-LOG('Stock Data'!P2)</f>
        <v>-5.8557618802242306E-2</v>
      </c>
      <c r="Q3">
        <f>LOG('Stock Data'!Q3)-LOG('Stock Data'!Q2)</f>
        <v>-1.207653253263441E-3</v>
      </c>
      <c r="R3" s="3">
        <f>'Stock Data'!R3/(100*12)</f>
        <v>1.25E-3</v>
      </c>
    </row>
    <row r="4" spans="1:18" x14ac:dyDescent="0.3">
      <c r="A4" s="1">
        <f>'Stock Data'!A4</f>
        <v>43833</v>
      </c>
      <c r="B4">
        <f>LOG('Stock Data'!B4)-LOG('Stock Data'!B3)</f>
        <v>-3.2593298820885241E-2</v>
      </c>
      <c r="C4">
        <f>LOG('Stock Data'!C4)-LOG('Stock Data'!C3)</f>
        <v>-1.3246918111748052E-2</v>
      </c>
      <c r="D4">
        <f>LOG('Stock Data'!D4)-LOG('Stock Data'!D3)</f>
        <v>-2.3111648880515645E-2</v>
      </c>
      <c r="E4">
        <f>LOG('Stock Data'!E4)-LOG('Stock Data'!E3)</f>
        <v>-3.4044619755525307E-2</v>
      </c>
      <c r="F4">
        <f>LOG('Stock Data'!F4)-LOG('Stock Data'!F3)</f>
        <v>-4.4783280037438811E-2</v>
      </c>
      <c r="G4">
        <f>LOG('Stock Data'!G4)-LOG('Stock Data'!G3)</f>
        <v>-2.8467397292656127E-2</v>
      </c>
      <c r="H4">
        <f>LOG('Stock Data'!H4)-LOG('Stock Data'!H3)</f>
        <v>-5.5929717336524298E-2</v>
      </c>
      <c r="I4">
        <f>LOG('Stock Data'!I4)-LOG('Stock Data'!I3)</f>
        <v>-4.1919062635321858E-2</v>
      </c>
      <c r="J4">
        <f>LOG('Stock Data'!J4)-LOG('Stock Data'!J3)</f>
        <v>-6.2666560279052597E-2</v>
      </c>
      <c r="K4">
        <f>LOG('Stock Data'!K4)-LOG('Stock Data'!K3)</f>
        <v>6.9990799669656156E-2</v>
      </c>
      <c r="L4">
        <f>LOG('Stock Data'!L4)-LOG('Stock Data'!L3)</f>
        <v>-6.945496310141408E-2</v>
      </c>
      <c r="M4">
        <f>LOG('Stock Data'!M4)-LOG('Stock Data'!M3)</f>
        <v>-4.3304799874289701E-2</v>
      </c>
      <c r="N4">
        <f>LOG('Stock Data'!N4)-LOG('Stock Data'!N3)</f>
        <v>3.1245532536374743E-2</v>
      </c>
      <c r="O4">
        <f>LOG('Stock Data'!O4)-LOG('Stock Data'!O3)</f>
        <v>-6.5960876648962108E-2</v>
      </c>
      <c r="P4">
        <f>LOG('Stock Data'!P4)-LOG('Stock Data'!P3)</f>
        <v>-6.7123713282346342E-2</v>
      </c>
      <c r="Q4">
        <f>LOG('Stock Data'!Q4)-LOG('Stock Data'!Q3)</f>
        <v>-3.6581029316683278E-2</v>
      </c>
      <c r="R4" s="3">
        <f>'Stock Data'!R4/(100*12)</f>
        <v>7.2499999999999995E-4</v>
      </c>
    </row>
    <row r="5" spans="1:18" x14ac:dyDescent="0.3">
      <c r="A5" s="1">
        <f>'Stock Data'!A5</f>
        <v>43834</v>
      </c>
      <c r="B5">
        <f>LOG('Stock Data'!B5)-LOG('Stock Data'!B4)</f>
        <v>-5.8827949703458504E-2</v>
      </c>
      <c r="C5">
        <f>LOG('Stock Data'!C5)-LOG('Stock Data'!C4)</f>
        <v>-3.3607695067574106E-2</v>
      </c>
      <c r="D5">
        <f>LOG('Stock Data'!D5)-LOG('Stock Data'!D4)</f>
        <v>6.0178246901534393E-3</v>
      </c>
      <c r="E5">
        <f>LOG('Stock Data'!E5)-LOG('Stock Data'!E4)</f>
        <v>-8.0017603355913902E-2</v>
      </c>
      <c r="F5">
        <f>LOG('Stock Data'!F5)-LOG('Stock Data'!F4)</f>
        <v>-2.3434554772268079E-2</v>
      </c>
      <c r="G5">
        <f>LOG('Stock Data'!G5)-LOG('Stock Data'!G4)</f>
        <v>1.7907920366846852E-2</v>
      </c>
      <c r="H5">
        <f>LOG('Stock Data'!H5)-LOG('Stock Data'!H4)</f>
        <v>-0.13688071554124526</v>
      </c>
      <c r="I5">
        <f>LOG('Stock Data'!I5)-LOG('Stock Data'!I4)</f>
        <v>-2.0585413250408191E-2</v>
      </c>
      <c r="J5">
        <f>LOG('Stock Data'!J5)-LOG('Stock Data'!J4)</f>
        <v>-2.6397058004412388E-2</v>
      </c>
      <c r="K5">
        <f>LOG('Stock Data'!K5)-LOG('Stock Data'!K4)</f>
        <v>-3.4605236298357656E-2</v>
      </c>
      <c r="L5">
        <f>LOG('Stock Data'!L5)-LOG('Stock Data'!L4)</f>
        <v>-0.10520953091102747</v>
      </c>
      <c r="M5">
        <f>LOG('Stock Data'!M5)-LOG('Stock Data'!M4)</f>
        <v>-2.6176948740157746E-2</v>
      </c>
      <c r="N5">
        <f>LOG('Stock Data'!N5)-LOG('Stock Data'!N4)</f>
        <v>3.362595886831965E-3</v>
      </c>
      <c r="O5">
        <f>LOG('Stock Data'!O5)-LOG('Stock Data'!O4)</f>
        <v>-0.15304576452843777</v>
      </c>
      <c r="P5">
        <f>LOG('Stock Data'!P5)-LOG('Stock Data'!P4)</f>
        <v>-0.15434783993040235</v>
      </c>
      <c r="Q5">
        <f>LOG('Stock Data'!Q5)-LOG('Stock Data'!Q4)</f>
        <v>-7.577550841438363E-2</v>
      </c>
      <c r="R5" s="3">
        <f>'Stock Data'!R5/(100*12)</f>
        <v>5.5000000000000003E-4</v>
      </c>
    </row>
    <row r="6" spans="1:18" x14ac:dyDescent="0.3">
      <c r="A6" s="1">
        <f>'Stock Data'!A6</f>
        <v>43835</v>
      </c>
      <c r="B6">
        <f>LOG('Stock Data'!B6)-LOG('Stock Data'!B5)</f>
        <v>6.4878164164660079E-2</v>
      </c>
      <c r="C6">
        <f>LOG('Stock Data'!C6)-LOG('Stock Data'!C5)</f>
        <v>6.0327439920154102E-2</v>
      </c>
      <c r="D6">
        <f>LOG('Stock Data'!D6)-LOG('Stock Data'!D5)</f>
        <v>8.2389689936940069E-2</v>
      </c>
      <c r="E6">
        <f>LOG('Stock Data'!E6)-LOG('Stock Data'!E5)</f>
        <v>7.1121673870638835E-2</v>
      </c>
      <c r="F6">
        <f>LOG('Stock Data'!F6)-LOG('Stock Data'!F5)</f>
        <v>6.8798753143918923E-2</v>
      </c>
      <c r="G6">
        <f>LOG('Stock Data'!G6)-LOG('Stock Data'!G5)</f>
        <v>3.4708479725600094E-2</v>
      </c>
      <c r="H6">
        <f>LOG('Stock Data'!H6)-LOG('Stock Data'!H5)</f>
        <v>4.0882050787929947E-2</v>
      </c>
      <c r="I6">
        <f>LOG('Stock Data'!I6)-LOG('Stock Data'!I5)</f>
        <v>3.718467506987011E-2</v>
      </c>
      <c r="J6">
        <f>LOG('Stock Data'!J6)-LOG('Stock Data'!J5)</f>
        <v>4.9439544981489725E-2</v>
      </c>
      <c r="K6">
        <f>LOG('Stock Data'!K6)-LOG('Stock Data'!K5)</f>
        <v>4.636874257136625E-2</v>
      </c>
      <c r="L6">
        <f>LOG('Stock Data'!L6)-LOG('Stock Data'!L5)</f>
        <v>5.5966717787011788E-2</v>
      </c>
      <c r="M6">
        <f>LOG('Stock Data'!M6)-LOG('Stock Data'!M5)</f>
        <v>7.3983510684886511E-2</v>
      </c>
      <c r="N6">
        <f>LOG('Stock Data'!N6)-LOG('Stock Data'!N5)</f>
        <v>4.2964888450858441E-2</v>
      </c>
      <c r="O6">
        <f>LOG('Stock Data'!O6)-LOG('Stock Data'!O5)</f>
        <v>6.9337208125333616E-2</v>
      </c>
      <c r="P6">
        <f>LOG('Stock Data'!P6)-LOG('Stock Data'!P5)</f>
        <v>9.2695137889605705E-2</v>
      </c>
      <c r="Q6">
        <f>LOG('Stock Data'!Q6)-LOG('Stock Data'!Q5)</f>
        <v>6.0137829404316889E-2</v>
      </c>
      <c r="R6" s="3">
        <f>'Stock Data'!R6/(100*12)</f>
        <v>5.5833333333333332E-4</v>
      </c>
    </row>
    <row r="7" spans="1:18" x14ac:dyDescent="0.3">
      <c r="A7" s="1">
        <f>'Stock Data'!A7</f>
        <v>43836</v>
      </c>
      <c r="B7">
        <f>LOG('Stock Data'!B7)-LOG('Stock Data'!B6)</f>
        <v>4.5368903591989307E-2</v>
      </c>
      <c r="C7">
        <f>LOG('Stock Data'!C7)-LOG('Stock Data'!C6)</f>
        <v>1.6339175456371535E-2</v>
      </c>
      <c r="D7">
        <f>LOG('Stock Data'!D7)-LOG('Stock Data'!D6)</f>
        <v>2.01898695080307E-2</v>
      </c>
      <c r="E7">
        <f>LOG('Stock Data'!E7)-LOG('Stock Data'!E6)</f>
        <v>3.2170625273289843E-2</v>
      </c>
      <c r="F7">
        <f>LOG('Stock Data'!F7)-LOG('Stock Data'!F6)</f>
        <v>-6.8163882371004014E-3</v>
      </c>
      <c r="G7">
        <f>LOG('Stock Data'!G7)-LOG('Stock Data'!G6)</f>
        <v>7.02206277987516E-3</v>
      </c>
      <c r="H7">
        <f>LOG('Stock Data'!H7)-LOG('Stock Data'!H6)</f>
        <v>1.930515519538667E-2</v>
      </c>
      <c r="I7">
        <f>LOG('Stock Data'!I7)-LOG('Stock Data'!I6)</f>
        <v>-5.9493325132011776E-3</v>
      </c>
      <c r="J7">
        <f>LOG('Stock Data'!J7)-LOG('Stock Data'!J6)</f>
        <v>2.6211676279961793E-2</v>
      </c>
      <c r="K7">
        <f>LOG('Stock Data'!K7)-LOG('Stock Data'!K6)</f>
        <v>9.4091102847802199E-2</v>
      </c>
      <c r="L7">
        <f>LOG('Stock Data'!L7)-LOG('Stock Data'!L6)</f>
        <v>4.2371561189249007E-2</v>
      </c>
      <c r="M7">
        <f>LOG('Stock Data'!M7)-LOG('Stock Data'!M6)</f>
        <v>-2.7867365812058731E-2</v>
      </c>
      <c r="N7">
        <f>LOG('Stock Data'!N7)-LOG('Stock Data'!N6)</f>
        <v>3.8539396282852856E-3</v>
      </c>
      <c r="O7">
        <f>LOG('Stock Data'!O7)-LOG('Stock Data'!O6)</f>
        <v>1.6404175577398705E-2</v>
      </c>
      <c r="P7">
        <f>LOG('Stock Data'!P7)-LOG('Stock Data'!P6)</f>
        <v>-2.9605675813011434E-3</v>
      </c>
      <c r="Q7">
        <f>LOG('Stock Data'!Q7)-LOG('Stock Data'!Q6)</f>
        <v>2.4955087624030092E-2</v>
      </c>
      <c r="R7" s="3">
        <f>'Stock Data'!R7/(100*12)</f>
        <v>6.0833333333333334E-4</v>
      </c>
    </row>
    <row r="8" spans="1:18" x14ac:dyDescent="0.3">
      <c r="A8" s="1">
        <f>'Stock Data'!A8</f>
        <v>43837</v>
      </c>
      <c r="B8">
        <f>LOG('Stock Data'!B8)-LOG('Stock Data'!B7)</f>
        <v>6.0336395922833352E-2</v>
      </c>
      <c r="C8">
        <f>LOG('Stock Data'!C8)-LOG('Stock Data'!C7)</f>
        <v>4.6437401921849197E-2</v>
      </c>
      <c r="D8">
        <f>LOG('Stock Data'!D8)-LOG('Stock Data'!D7)</f>
        <v>5.1782848366307199E-2</v>
      </c>
      <c r="E8">
        <f>LOG('Stock Data'!E8)-LOG('Stock Data'!E7)</f>
        <v>-2.0150078893197421E-3</v>
      </c>
      <c r="F8">
        <f>LOG('Stock Data'!F8)-LOG('Stock Data'!F7)</f>
        <v>-1.9910032533354993E-2</v>
      </c>
      <c r="G8">
        <f>LOG('Stock Data'!G8)-LOG('Stock Data'!G7)</f>
        <v>-1.4268583856897887E-2</v>
      </c>
      <c r="H8">
        <f>LOG('Stock Data'!H8)-LOG('Stock Data'!H7)</f>
        <v>-1.2896319432519121E-2</v>
      </c>
      <c r="I8">
        <f>LOG('Stock Data'!I8)-LOG('Stock Data'!I7)</f>
        <v>1.345471372253737E-2</v>
      </c>
      <c r="J8">
        <f>LOG('Stock Data'!J8)-LOG('Stock Data'!J7)</f>
        <v>-1.8311205077043313E-2</v>
      </c>
      <c r="K8">
        <f>LOG('Stock Data'!K8)-LOG('Stock Data'!K7)</f>
        <v>3.2676244806905785E-2</v>
      </c>
      <c r="L8">
        <f>LOG('Stock Data'!L8)-LOG('Stock Data'!L7)</f>
        <v>-1.676379445940368E-2</v>
      </c>
      <c r="M8">
        <f>LOG('Stock Data'!M8)-LOG('Stock Data'!M7)</f>
        <v>-1.1906393484073075E-2</v>
      </c>
      <c r="N8">
        <f>LOG('Stock Data'!N8)-LOG('Stock Data'!N7)</f>
        <v>3.5049179850299206E-2</v>
      </c>
      <c r="O8">
        <f>LOG('Stock Data'!O8)-LOG('Stock Data'!O7)</f>
        <v>-4.4949115993198063E-3</v>
      </c>
      <c r="P8">
        <f>LOG('Stock Data'!P8)-LOG('Stock Data'!P7)</f>
        <v>-8.027495443315269E-3</v>
      </c>
      <c r="Q8">
        <f>LOG('Stock Data'!Q8)-LOG('Stock Data'!Q7)</f>
        <v>9.4910059051582785E-3</v>
      </c>
      <c r="R8" s="3">
        <f>'Stock Data'!R8/(100*12)</f>
        <v>5.1666666666666668E-4</v>
      </c>
    </row>
    <row r="9" spans="1:18" x14ac:dyDescent="0.3">
      <c r="A9" s="1">
        <f>'Stock Data'!A9</f>
        <v>43838</v>
      </c>
      <c r="B9">
        <f>LOG('Stock Data'!B9)-LOG('Stock Data'!B8)</f>
        <v>7.3851629360392357E-2</v>
      </c>
      <c r="C9">
        <f>LOG('Stock Data'!C9)-LOG('Stock Data'!C8)</f>
        <v>1.7555989689572726E-2</v>
      </c>
      <c r="D9">
        <f>LOG('Stock Data'!D9)-LOG('Stock Data'!D8)</f>
        <v>6.1914792770239035E-2</v>
      </c>
      <c r="E9">
        <f>LOG('Stock Data'!E9)-LOG('Stock Data'!E8)</f>
        <v>2.1434040965343293E-2</v>
      </c>
      <c r="F9">
        <f>LOG('Stock Data'!F9)-LOG('Stock Data'!F8)</f>
        <v>1.7248181148674213E-2</v>
      </c>
      <c r="G9">
        <f>LOG('Stock Data'!G9)-LOG('Stock Data'!G8)</f>
        <v>3.6386640661974612E-2</v>
      </c>
      <c r="H9">
        <f>LOG('Stock Data'!H9)-LOG('Stock Data'!H8)</f>
        <v>9.6408236546594583E-3</v>
      </c>
      <c r="I9">
        <f>LOG('Stock Data'!I9)-LOG('Stock Data'!I8)</f>
        <v>3.759795943554245E-2</v>
      </c>
      <c r="J9">
        <f>LOG('Stock Data'!J9)-LOG('Stock Data'!J8)</f>
        <v>-9.3822020771672898E-2</v>
      </c>
      <c r="K9">
        <f>LOG('Stock Data'!K9)-LOG('Stock Data'!K8)</f>
        <v>5.1962773581476718E-2</v>
      </c>
      <c r="L9">
        <f>LOG('Stock Data'!L9)-LOG('Stock Data'!L8)</f>
        <v>1.2707893967777384E-2</v>
      </c>
      <c r="M9">
        <f>LOG('Stock Data'!M9)-LOG('Stock Data'!M8)</f>
        <v>4.8402410318488132E-2</v>
      </c>
      <c r="N9">
        <f>LOG('Stock Data'!N9)-LOG('Stock Data'!N8)</f>
        <v>3.3937179242765403E-2</v>
      </c>
      <c r="O9">
        <f>LOG('Stock Data'!O9)-LOG('Stock Data'!O8)</f>
        <v>1.7707078804323206E-2</v>
      </c>
      <c r="P9">
        <f>LOG('Stock Data'!P9)-LOG('Stock Data'!P8)</f>
        <v>-2.4496405614113481E-2</v>
      </c>
      <c r="Q9">
        <f>LOG('Stock Data'!Q9)-LOG('Stock Data'!Q8)</f>
        <v>2.4775884232181689E-2</v>
      </c>
      <c r="R9" s="3">
        <f>'Stock Data'!R9/(100*12)</f>
        <v>5.4166666666666664E-4</v>
      </c>
    </row>
    <row r="10" spans="1:18" x14ac:dyDescent="0.3">
      <c r="A10" s="1">
        <f>'Stock Data'!A10</f>
        <v>43839</v>
      </c>
      <c r="B10">
        <f>LOG('Stock Data'!B10)-LOG('Stock Data'!B9)</f>
        <v>8.8839982966015807E-2</v>
      </c>
      <c r="C10">
        <f>LOG('Stock Data'!C10)-LOG('Stock Data'!C9)</f>
        <v>2.7814367160210907E-2</v>
      </c>
      <c r="D10">
        <f>LOG('Stock Data'!D10)-LOG('Stock Data'!D9)</f>
        <v>4.0266593624554758E-2</v>
      </c>
      <c r="E10">
        <f>LOG('Stock Data'!E10)-LOG('Stock Data'!E9)</f>
        <v>3.9295730066918333E-2</v>
      </c>
      <c r="F10">
        <f>LOG('Stock Data'!F10)-LOG('Stock Data'!F9)</f>
        <v>2.1642542999862791E-2</v>
      </c>
      <c r="G10">
        <f>LOG('Stock Data'!G10)-LOG('Stock Data'!G9)</f>
        <v>3.6256301953233816E-2</v>
      </c>
      <c r="H10">
        <f>LOG('Stock Data'!H10)-LOG('Stock Data'!H9)</f>
        <v>1.1179994073383659E-2</v>
      </c>
      <c r="I10">
        <f>LOG('Stock Data'!I10)-LOG('Stock Data'!I9)</f>
        <v>2.3927611773169488E-2</v>
      </c>
      <c r="J10">
        <f>LOG('Stock Data'!J10)-LOG('Stock Data'!J9)</f>
        <v>2.3125798218646132E-2</v>
      </c>
      <c r="K10">
        <f>LOG('Stock Data'!K10)-LOG('Stock Data'!K9)</f>
        <v>9.9090170233349983E-2</v>
      </c>
      <c r="L10">
        <f>LOG('Stock Data'!L10)-LOG('Stock Data'!L9)</f>
        <v>5.5216653279309913E-2</v>
      </c>
      <c r="M10">
        <f>LOG('Stock Data'!M10)-LOG('Stock Data'!M9)</f>
        <v>-9.3555038813979419E-3</v>
      </c>
      <c r="N10">
        <f>LOG('Stock Data'!N10)-LOG('Stock Data'!N9)</f>
        <v>3.5408130003053095E-2</v>
      </c>
      <c r="O10">
        <f>LOG('Stock Data'!O10)-LOG('Stock Data'!O9)</f>
        <v>9.4396905344116266E-3</v>
      </c>
      <c r="P10">
        <f>LOG('Stock Data'!P10)-LOG('Stock Data'!P9)</f>
        <v>-2.4428867141441879E-2</v>
      </c>
      <c r="Q10">
        <f>LOG('Stock Data'!Q10)-LOG('Stock Data'!Q9)</f>
        <v>2.8024100976800526E-2</v>
      </c>
      <c r="R10" s="3">
        <f>'Stock Data'!R10/(100*12)</f>
        <v>5.6666666666666671E-4</v>
      </c>
    </row>
    <row r="11" spans="1:18" x14ac:dyDescent="0.3">
      <c r="A11" s="1">
        <f>'Stock Data'!A11</f>
        <v>43840</v>
      </c>
      <c r="B11">
        <f>LOG('Stock Data'!B11)-LOG('Stock Data'!B10)</f>
        <v>-5.2512227901534647E-2</v>
      </c>
      <c r="C11">
        <f>LOG('Stock Data'!C11)-LOG('Stock Data'!C10)</f>
        <v>-2.3788267743031E-2</v>
      </c>
      <c r="D11">
        <f>LOG('Stock Data'!D11)-LOG('Stock Data'!D10)</f>
        <v>-3.6541288622498946E-2</v>
      </c>
      <c r="E11">
        <f>LOG('Stock Data'!E11)-LOG('Stock Data'!E10)</f>
        <v>-4.145654886334027E-2</v>
      </c>
      <c r="F11">
        <f>LOG('Stock Data'!F11)-LOG('Stock Data'!F10)</f>
        <v>-1.3065058321730216E-2</v>
      </c>
      <c r="G11">
        <f>LOG('Stock Data'!G11)-LOG('Stock Data'!G10)</f>
        <v>-1.2936440941044847E-3</v>
      </c>
      <c r="H11">
        <f>LOG('Stock Data'!H11)-LOG('Stock Data'!H10)</f>
        <v>-1.0732590632245964E-2</v>
      </c>
      <c r="I11">
        <f>LOG('Stock Data'!I11)-LOG('Stock Data'!I10)</f>
        <v>5.3849198317257319E-3</v>
      </c>
      <c r="J11">
        <f>LOG('Stock Data'!J11)-LOG('Stock Data'!J10)</f>
        <v>1.252818994638849E-2</v>
      </c>
      <c r="K11">
        <f>LOG('Stock Data'!K11)-LOG('Stock Data'!K10)</f>
        <v>8.9285417001914169E-3</v>
      </c>
      <c r="L11">
        <f>LOG('Stock Data'!L11)-LOG('Stock Data'!L10)</f>
        <v>-2.360914102645939E-2</v>
      </c>
      <c r="M11">
        <f>LOG('Stock Data'!M11)-LOG('Stock Data'!M10)</f>
        <v>-1.0181639030106382E-2</v>
      </c>
      <c r="N11">
        <f>LOG('Stock Data'!N11)-LOG('Stock Data'!N10)</f>
        <v>-2.2250645263123259E-2</v>
      </c>
      <c r="O11">
        <f>LOG('Stock Data'!O11)-LOG('Stock Data'!O10)</f>
        <v>-2.283076381070015E-2</v>
      </c>
      <c r="P11">
        <f>LOG('Stock Data'!P11)-LOG('Stock Data'!P10)</f>
        <v>-7.0548941217592809E-2</v>
      </c>
      <c r="Q11">
        <f>LOG('Stock Data'!Q11)-LOG('Stock Data'!Q10)</f>
        <v>-1.5319971090373752E-2</v>
      </c>
      <c r="R11" s="3">
        <f>'Stock Data'!R11/(100*12)</f>
        <v>6.5833333333333336E-4</v>
      </c>
    </row>
    <row r="12" spans="1:18" x14ac:dyDescent="0.3">
      <c r="A12" s="1">
        <f>'Stock Data'!A12</f>
        <v>43841</v>
      </c>
      <c r="B12">
        <f>LOG('Stock Data'!B12)-LOG('Stock Data'!B11)</f>
        <v>-3.2690460060657234E-2</v>
      </c>
      <c r="C12">
        <f>LOG('Stock Data'!C12)-LOG('Stock Data'!C11)</f>
        <v>-1.9130428794443599E-2</v>
      </c>
      <c r="D12">
        <f>LOG('Stock Data'!D12)-LOG('Stock Data'!D11)</f>
        <v>-2.025754089625087E-2</v>
      </c>
      <c r="E12">
        <f>LOG('Stock Data'!E12)-LOG('Stock Data'!E11)</f>
        <v>3.9162217988675252E-2</v>
      </c>
      <c r="F12">
        <f>LOG('Stock Data'!F12)-LOG('Stock Data'!F11)</f>
        <v>-3.1136588120253439E-2</v>
      </c>
      <c r="G12">
        <f>LOG('Stock Data'!G12)-LOG('Stock Data'!G11)</f>
        <v>-6.482699515506507E-4</v>
      </c>
      <c r="H12">
        <f>LOG('Stock Data'!H12)-LOG('Stock Data'!H11)</f>
        <v>1.0034016870440032E-2</v>
      </c>
      <c r="I12">
        <f>LOG('Stock Data'!I12)-LOG('Stock Data'!I11)</f>
        <v>-3.3420647190900432E-3</v>
      </c>
      <c r="J12">
        <f>LOG('Stock Data'!J12)-LOG('Stock Data'!J11)</f>
        <v>-6.6504984422722124E-2</v>
      </c>
      <c r="K12">
        <f>LOG('Stock Data'!K12)-LOG('Stock Data'!K11)</f>
        <v>-3.6184728218156215E-2</v>
      </c>
      <c r="L12">
        <f>LOG('Stock Data'!L12)-LOG('Stock Data'!L11)</f>
        <v>-9.4881603783880664E-3</v>
      </c>
      <c r="M12">
        <f>LOG('Stock Data'!M12)-LOG('Stock Data'!M11)</f>
        <v>-1.1699298856324258E-2</v>
      </c>
      <c r="N12">
        <f>LOG('Stock Data'!N12)-LOG('Stock Data'!N11)</f>
        <v>-2.3905679797191492E-2</v>
      </c>
      <c r="O12">
        <f>LOG('Stock Data'!O12)-LOG('Stock Data'!O11)</f>
        <v>-6.8536265820569042E-3</v>
      </c>
      <c r="P12">
        <f>LOG('Stock Data'!P12)-LOG('Stock Data'!P11)</f>
        <v>-8.4356876915783197E-3</v>
      </c>
      <c r="Q12">
        <f>LOG('Stock Data'!Q12)-LOG('Stock Data'!Q11)</f>
        <v>-1.1656724371706506E-2</v>
      </c>
      <c r="R12" s="3">
        <f>'Stock Data'!R12/(100*12)</f>
        <v>7.2499999999999995E-4</v>
      </c>
    </row>
    <row r="13" spans="1:18" x14ac:dyDescent="0.3">
      <c r="A13" s="1">
        <f>'Stock Data'!A13</f>
        <v>43842</v>
      </c>
      <c r="B13">
        <f>LOG('Stock Data'!B13)-LOG('Stock Data'!B12)</f>
        <v>4.4956705164954869E-2</v>
      </c>
      <c r="C13">
        <f>LOG('Stock Data'!C13)-LOG('Stock Data'!C12)</f>
        <v>2.1200434449514027E-2</v>
      </c>
      <c r="D13">
        <f>LOG('Stock Data'!D13)-LOG('Stock Data'!D12)</f>
        <v>1.7623223045589942E-2</v>
      </c>
      <c r="E13">
        <f>LOG('Stock Data'!E13)-LOG('Stock Data'!E12)</f>
        <v>3.6659183455639344E-2</v>
      </c>
      <c r="F13">
        <f>LOG('Stock Data'!F13)-LOG('Stock Data'!F12)</f>
        <v>2.2262332566897136E-2</v>
      </c>
      <c r="G13">
        <f>LOG('Stock Data'!G13)-LOG('Stock Data'!G12)</f>
        <v>3.8467676714886823E-2</v>
      </c>
      <c r="H13">
        <f>LOG('Stock Data'!H13)-LOG('Stock Data'!H12)</f>
        <v>8.3067316554014559E-2</v>
      </c>
      <c r="I13">
        <f>LOG('Stock Data'!I13)-LOG('Stock Data'!I12)</f>
        <v>2.0332908047477893E-3</v>
      </c>
      <c r="J13">
        <f>LOG('Stock Data'!J13)-LOG('Stock Data'!J12)</f>
        <v>3.5148317473550961E-2</v>
      </c>
      <c r="K13">
        <f>LOG('Stock Data'!K13)-LOG('Stock Data'!K12)</f>
        <v>2.7578243990568074E-2</v>
      </c>
      <c r="L13">
        <f>LOG('Stock Data'!L13)-LOG('Stock Data'!L12)</f>
        <v>8.7631152423840675E-2</v>
      </c>
      <c r="M13">
        <f>LOG('Stock Data'!M13)-LOG('Stock Data'!M12)</f>
        <v>6.3251578198991965E-2</v>
      </c>
      <c r="N13">
        <f>LOG('Stock Data'!N13)-LOG('Stock Data'!N12)</f>
        <v>1.1984998730147911E-2</v>
      </c>
      <c r="O13">
        <f>LOG('Stock Data'!O13)-LOG('Stock Data'!O12)</f>
        <v>8.0270614048328914E-2</v>
      </c>
      <c r="P13">
        <f>LOG('Stock Data'!P13)-LOG('Stock Data'!P12)</f>
        <v>7.0266444123260108E-2</v>
      </c>
      <c r="Q13">
        <f>LOG('Stock Data'!Q13)-LOG('Stock Data'!Q12)</f>
        <v>4.3787624004315795E-2</v>
      </c>
      <c r="R13" s="3">
        <f>'Stock Data'!R13/(100*12)</f>
        <v>7.7500000000000008E-4</v>
      </c>
    </row>
    <row r="14" spans="1:18" x14ac:dyDescent="0.3">
      <c r="A14" s="1">
        <f>'Stock Data'!A14</f>
        <v>44197</v>
      </c>
      <c r="B14">
        <f>LOG('Stock Data'!B14)-LOG('Stock Data'!B13)</f>
        <v>4.2725062731860941E-2</v>
      </c>
      <c r="C14">
        <f>LOG('Stock Data'!C14)-LOG('Stock Data'!C13)</f>
        <v>1.5941025051232849E-2</v>
      </c>
      <c r="D14">
        <f>LOG('Stock Data'!D14)-LOG('Stock Data'!D13)</f>
        <v>1.0947710898820961E-2</v>
      </c>
      <c r="E14">
        <f>LOG('Stock Data'!E14)-LOG('Stock Data'!E13)</f>
        <v>-1.625558286737272E-3</v>
      </c>
      <c r="F14">
        <f>LOG('Stock Data'!F14)-LOG('Stock Data'!F13)</f>
        <v>3.1348395237722038E-2</v>
      </c>
      <c r="G14">
        <f>LOG('Stock Data'!G14)-LOG('Stock Data'!G13)</f>
        <v>-2.7124884601999133E-2</v>
      </c>
      <c r="H14">
        <f>LOG('Stock Data'!H14)-LOG('Stock Data'!H13)</f>
        <v>2.5100177614336694E-2</v>
      </c>
      <c r="I14">
        <f>LOG('Stock Data'!I14)-LOG('Stock Data'!I13)</f>
        <v>1.557617629446284E-3</v>
      </c>
      <c r="J14">
        <f>LOG('Stock Data'!J14)-LOG('Stock Data'!J13)</f>
        <v>1.003888390462615E-2</v>
      </c>
      <c r="K14">
        <f>LOG('Stock Data'!K14)-LOG('Stock Data'!K13)</f>
        <v>-1.2740654016140107E-2</v>
      </c>
      <c r="L14">
        <f>LOG('Stock Data'!L14)-LOG('Stock Data'!L13)</f>
        <v>8.5846872282021369E-2</v>
      </c>
      <c r="M14">
        <f>LOG('Stock Data'!M14)-LOG('Stock Data'!M13)</f>
        <v>-2.8823084219457673E-2</v>
      </c>
      <c r="N14">
        <f>LOG('Stock Data'!N14)-LOG('Stock Data'!N13)</f>
        <v>3.9358929413983113E-2</v>
      </c>
      <c r="O14">
        <f>LOG('Stock Data'!O14)-LOG('Stock Data'!O13)</f>
        <v>2.524313520181698E-2</v>
      </c>
      <c r="P14">
        <f>LOG('Stock Data'!P14)-LOG('Stock Data'!P13)</f>
        <v>2.6905586679714322E-2</v>
      </c>
      <c r="Q14">
        <f>LOG('Stock Data'!Q14)-LOG('Stock Data'!Q13)</f>
        <v>1.3918812476780396E-2</v>
      </c>
      <c r="R14" s="3">
        <f>'Stock Data'!R14/(100*12)</f>
        <v>9.0000000000000008E-4</v>
      </c>
    </row>
    <row r="15" spans="1:18" x14ac:dyDescent="0.3">
      <c r="A15" s="1">
        <f>'Stock Data'!A15</f>
        <v>44198</v>
      </c>
      <c r="B15">
        <f>LOG('Stock Data'!B15)-LOG('Stock Data'!B14)</f>
        <v>7.4746702207573179E-4</v>
      </c>
      <c r="C15">
        <f>LOG('Stock Data'!C15)-LOG('Stock Data'!C14)</f>
        <v>2.3790163887257076E-2</v>
      </c>
      <c r="D15">
        <f>LOG('Stock Data'!D15)-LOG('Stock Data'!D14)</f>
        <v>-3.6811619266492457E-3</v>
      </c>
      <c r="E15">
        <f>LOG('Stock Data'!E15)-LOG('Stock Data'!E14)</f>
        <v>2.0389536487606552E-2</v>
      </c>
      <c r="F15">
        <f>LOG('Stock Data'!F15)-LOG('Stock Data'!F14)</f>
        <v>2.1736090737121572E-2</v>
      </c>
      <c r="G15">
        <f>LOG('Stock Data'!G15)-LOG('Stock Data'!G14)</f>
        <v>-1.0324516190582722E-2</v>
      </c>
      <c r="H15">
        <f>LOG('Stock Data'!H15)-LOG('Stock Data'!H14)</f>
        <v>6.4240915627076234E-3</v>
      </c>
      <c r="I15">
        <f>LOG('Stock Data'!I15)-LOG('Stock Data'!I14)</f>
        <v>-3.4482327405748858E-2</v>
      </c>
      <c r="J15">
        <f>LOG('Stock Data'!J15)-LOG('Stock Data'!J14)</f>
        <v>4.9786586925187226E-2</v>
      </c>
      <c r="K15">
        <f>LOG('Stock Data'!K15)-LOG('Stock Data'!K14)</f>
        <v>-1.6607839814644088E-3</v>
      </c>
      <c r="L15">
        <f>LOG('Stock Data'!L15)-LOG('Stock Data'!L14)</f>
        <v>-2.810180318269051E-2</v>
      </c>
      <c r="M15">
        <f>LOG('Stock Data'!M15)-LOG('Stock Data'!M14)</f>
        <v>-1.1215920401467017E-2</v>
      </c>
      <c r="N15">
        <f>LOG('Stock Data'!N15)-LOG('Stock Data'!N14)</f>
        <v>-1.7762580258031679E-3</v>
      </c>
      <c r="O15">
        <f>LOG('Stock Data'!O15)-LOG('Stock Data'!O14)</f>
        <v>-8.4946763958955174E-3</v>
      </c>
      <c r="P15">
        <f>LOG('Stock Data'!P15)-LOG('Stock Data'!P14)</f>
        <v>4.12497859580645E-2</v>
      </c>
      <c r="Q15">
        <f>LOG('Stock Data'!Q15)-LOG('Stock Data'!Q14)</f>
        <v>-3.874954660029406E-3</v>
      </c>
      <c r="R15" s="3">
        <f>'Stock Data'!R15/(100*12)</f>
        <v>1.0499999999999999E-3</v>
      </c>
    </row>
    <row r="16" spans="1:18" x14ac:dyDescent="0.3">
      <c r="A16" s="1">
        <f>'Stock Data'!A16</f>
        <v>44199</v>
      </c>
      <c r="B16">
        <f>LOG('Stock Data'!B16)-LOG('Stock Data'!B15)</f>
        <v>-3.37485830876596E-2</v>
      </c>
      <c r="C16">
        <f>LOG('Stock Data'!C16)-LOG('Stock Data'!C15)</f>
        <v>1.5492090693087768E-3</v>
      </c>
      <c r="D16">
        <f>LOG('Stock Data'!D16)-LOG('Stock Data'!D15)</f>
        <v>-1.5627615422974195E-2</v>
      </c>
      <c r="E16">
        <f>LOG('Stock Data'!E16)-LOG('Stock Data'!E15)</f>
        <v>4.5427748002036861E-2</v>
      </c>
      <c r="F16">
        <f>LOG('Stock Data'!F16)-LOG('Stock Data'!F15)</f>
        <v>-1.0261076531992597E-2</v>
      </c>
      <c r="G16">
        <f>LOG('Stock Data'!G16)-LOG('Stock Data'!G15)</f>
        <v>-2.9751932841744821E-2</v>
      </c>
      <c r="H16">
        <f>LOG('Stock Data'!H16)-LOG('Stock Data'!H15)</f>
        <v>6.2765012038094259E-2</v>
      </c>
      <c r="I16">
        <f>LOG('Stock Data'!I16)-LOG('Stock Data'!I15)</f>
        <v>-1.660800638513571E-2</v>
      </c>
      <c r="J16">
        <f>LOG('Stock Data'!J16)-LOG('Stock Data'!J15)</f>
        <v>4.2625826526741628E-2</v>
      </c>
      <c r="K16">
        <f>LOG('Stock Data'!K16)-LOG('Stock Data'!K15)</f>
        <v>2.6778954444536263E-2</v>
      </c>
      <c r="L16">
        <f>LOG('Stock Data'!L16)-LOG('Stock Data'!L15)</f>
        <v>5.3484991120787306E-2</v>
      </c>
      <c r="M16">
        <f>LOG('Stock Data'!M16)-LOG('Stock Data'!M15)</f>
        <v>-2.9247213362985081E-2</v>
      </c>
      <c r="N16">
        <f>LOG('Stock Data'!N16)-LOG('Stock Data'!N15)</f>
        <v>7.0618544874869738E-3</v>
      </c>
      <c r="O16">
        <f>LOG('Stock Data'!O16)-LOG('Stock Data'!O15)</f>
        <v>7.5237734502435094E-2</v>
      </c>
      <c r="P16">
        <f>LOG('Stock Data'!P16)-LOG('Stock Data'!P15)</f>
        <v>9.3043466892522408E-2</v>
      </c>
      <c r="Q16">
        <f>LOG('Stock Data'!Q16)-LOG('Stock Data'!Q15)</f>
        <v>1.2769969542550719E-2</v>
      </c>
      <c r="R16" s="3">
        <f>'Stock Data'!R16/(100*12)</f>
        <v>1.3416666666666668E-3</v>
      </c>
    </row>
    <row r="17" spans="1:18" x14ac:dyDescent="0.3">
      <c r="A17" s="1">
        <f>'Stock Data'!A17</f>
        <v>44200</v>
      </c>
      <c r="B17">
        <f>LOG('Stock Data'!B17)-LOG('Stock Data'!B16)</f>
        <v>-3.1596544274981042E-4</v>
      </c>
      <c r="C17">
        <f>LOG('Stock Data'!C17)-LOG('Stock Data'!C16)</f>
        <v>4.7058108177937541E-3</v>
      </c>
      <c r="D17">
        <f>LOG('Stock Data'!D17)-LOG('Stock Data'!D16)</f>
        <v>-1.3628644578393967E-3</v>
      </c>
      <c r="E17">
        <f>LOG('Stock Data'!E17)-LOG('Stock Data'!E16)</f>
        <v>9.2732454558270838E-3</v>
      </c>
      <c r="F17">
        <f>LOG('Stock Data'!F17)-LOG('Stock Data'!F16)</f>
        <v>3.082491904868867E-3</v>
      </c>
      <c r="G17">
        <f>LOG('Stock Data'!G17)-LOG('Stock Data'!G16)</f>
        <v>1.4125434837681583E-2</v>
      </c>
      <c r="H17">
        <f>LOG('Stock Data'!H17)-LOG('Stock Data'!H16)</f>
        <v>6.8584854920108462E-3</v>
      </c>
      <c r="I17">
        <f>LOG('Stock Data'!I17)-LOG('Stock Data'!I16)</f>
        <v>3.6512884609356533E-2</v>
      </c>
      <c r="J17">
        <f>LOG('Stock Data'!J17)-LOG('Stock Data'!J16)</f>
        <v>2.0612591213105214E-2</v>
      </c>
      <c r="K17">
        <f>LOG('Stock Data'!K17)-LOG('Stock Data'!K16)</f>
        <v>-9.809618459099001E-3</v>
      </c>
      <c r="L17">
        <f>LOG('Stock Data'!L17)-LOG('Stock Data'!L16)</f>
        <v>-1.5558754301217004E-2</v>
      </c>
      <c r="M17">
        <f>LOG('Stock Data'!M17)-LOG('Stock Data'!M16)</f>
        <v>3.3696621194448051E-2</v>
      </c>
      <c r="N17">
        <f>LOG('Stock Data'!N17)-LOG('Stock Data'!N16)</f>
        <v>-1.2680442134092917E-2</v>
      </c>
      <c r="O17">
        <f>LOG('Stock Data'!O17)-LOG('Stock Data'!O16)</f>
        <v>3.8694433439484088E-2</v>
      </c>
      <c r="P17">
        <f>LOG('Stock Data'!P17)-LOG('Stock Data'!P16)</f>
        <v>-1.155141602823484E-3</v>
      </c>
      <c r="Q17">
        <f>LOG('Stock Data'!Q17)-LOG('Stock Data'!Q16)</f>
        <v>1.6660375054817322E-2</v>
      </c>
      <c r="R17" s="3">
        <f>'Stock Data'!R17/(100*12)</f>
        <v>1.3666666666666666E-3</v>
      </c>
    </row>
    <row r="18" spans="1:18" x14ac:dyDescent="0.3">
      <c r="A18" s="1">
        <f>'Stock Data'!A18</f>
        <v>44201</v>
      </c>
      <c r="B18">
        <f>LOG('Stock Data'!B18)-LOG('Stock Data'!B17)</f>
        <v>2.847627349541737E-2</v>
      </c>
      <c r="C18">
        <f>LOG('Stock Data'!C18)-LOG('Stock Data'!C17)</f>
        <v>2.6372858844033509E-2</v>
      </c>
      <c r="D18">
        <f>LOG('Stock Data'!D18)-LOG('Stock Data'!D17)</f>
        <v>4.8301747222857738E-2</v>
      </c>
      <c r="E18">
        <f>LOG('Stock Data'!E18)-LOG('Stock Data'!E17)</f>
        <v>5.3227947314209878E-2</v>
      </c>
      <c r="F18">
        <f>LOG('Stock Data'!F18)-LOG('Stock Data'!F17)</f>
        <v>2.662758077255134E-3</v>
      </c>
      <c r="G18">
        <f>LOG('Stock Data'!G18)-LOG('Stock Data'!G17)</f>
        <v>1.181890946264641E-2</v>
      </c>
      <c r="H18">
        <f>LOG('Stock Data'!H18)-LOG('Stock Data'!H17)</f>
        <v>8.3534358300192402E-3</v>
      </c>
      <c r="I18">
        <f>LOG('Stock Data'!I18)-LOG('Stock Data'!I17)</f>
        <v>-3.2925709331164121E-3</v>
      </c>
      <c r="J18">
        <f>LOG('Stock Data'!J18)-LOG('Stock Data'!J17)</f>
        <v>-4.8735145316447515E-2</v>
      </c>
      <c r="K18">
        <f>LOG('Stock Data'!K18)-LOG('Stock Data'!K17)</f>
        <v>4.7259080363449613E-2</v>
      </c>
      <c r="L18">
        <f>LOG('Stock Data'!L18)-LOG('Stock Data'!L17)</f>
        <v>2.9253347384567974E-3</v>
      </c>
      <c r="M18">
        <f>LOG('Stock Data'!M18)-LOG('Stock Data'!M17)</f>
        <v>3.1603183958541781E-2</v>
      </c>
      <c r="N18">
        <f>LOG('Stock Data'!N18)-LOG('Stock Data'!N17)</f>
        <v>-1.4415317666104377E-2</v>
      </c>
      <c r="O18">
        <f>LOG('Stock Data'!O18)-LOG('Stock Data'!O17)</f>
        <v>2.223724716554587E-2</v>
      </c>
      <c r="P18">
        <f>LOG('Stock Data'!P18)-LOG('Stock Data'!P17)</f>
        <v>1.2615564884922881E-2</v>
      </c>
      <c r="Q18">
        <f>LOG('Stock Data'!Q18)-LOG('Stock Data'!Q17)</f>
        <v>2.114382049055985E-2</v>
      </c>
      <c r="R18" s="3">
        <f>'Stock Data'!R18/(100*12)</f>
        <v>1.3500000000000001E-3</v>
      </c>
    </row>
    <row r="19" spans="1:18" x14ac:dyDescent="0.3">
      <c r="A19" s="1">
        <f>'Stock Data'!A19</f>
        <v>44202</v>
      </c>
      <c r="B19">
        <f>LOG('Stock Data'!B19)-LOG('Stock Data'!B18)</f>
        <v>-2.351764308737847E-2</v>
      </c>
      <c r="C19">
        <f>LOG('Stock Data'!C19)-LOG('Stock Data'!C18)</f>
        <v>-3.7351121999260606E-3</v>
      </c>
      <c r="D19">
        <f>LOG('Stock Data'!D19)-LOG('Stock Data'!D18)</f>
        <v>-3.1177345702356085E-2</v>
      </c>
      <c r="E19">
        <f>LOG('Stock Data'!E19)-LOG('Stock Data'!E18)</f>
        <v>1.7227385251028515E-3</v>
      </c>
      <c r="F19">
        <f>LOG('Stock Data'!F19)-LOG('Stock Data'!F18)</f>
        <v>1.7048654096524007E-2</v>
      </c>
      <c r="G19">
        <f>LOG('Stock Data'!G19)-LOG('Stock Data'!G18)</f>
        <v>7.7653700322528607E-3</v>
      </c>
      <c r="H19">
        <f>LOG('Stock Data'!H19)-LOG('Stock Data'!H18)</f>
        <v>2.9856634965593098E-2</v>
      </c>
      <c r="I19">
        <f>LOG('Stock Data'!I19)-LOG('Stock Data'!I18)</f>
        <v>5.6657707287310899E-3</v>
      </c>
      <c r="J19">
        <f>LOG('Stock Data'!J19)-LOG('Stock Data'!J18)</f>
        <v>-1.8054880612417001E-3</v>
      </c>
      <c r="K19">
        <f>LOG('Stock Data'!K19)-LOG('Stock Data'!K18)</f>
        <v>3.1548624913672052E-2</v>
      </c>
      <c r="L19">
        <f>LOG('Stock Data'!L19)-LOG('Stock Data'!L18)</f>
        <v>-1.7734551730188564E-2</v>
      </c>
      <c r="M19">
        <f>LOG('Stock Data'!M19)-LOG('Stock Data'!M18)</f>
        <v>-1.1138618106414366E-3</v>
      </c>
      <c r="N19">
        <f>LOG('Stock Data'!N19)-LOG('Stock Data'!N18)</f>
        <v>-7.3480654027000547E-3</v>
      </c>
      <c r="O19">
        <f>LOG('Stock Data'!O19)-LOG('Stock Data'!O18)</f>
        <v>2.1558530455667801E-2</v>
      </c>
      <c r="P19">
        <f>LOG('Stock Data'!P19)-LOG('Stock Data'!P18)</f>
        <v>1.0873647935731867E-2</v>
      </c>
      <c r="Q19">
        <f>LOG('Stock Data'!Q19)-LOG('Stock Data'!Q18)</f>
        <v>2.5349626793649271E-3</v>
      </c>
      <c r="R19" s="3">
        <f>'Stock Data'!R19/(100*12)</f>
        <v>1.2666666666666666E-3</v>
      </c>
    </row>
    <row r="20" spans="1:18" x14ac:dyDescent="0.3">
      <c r="A20" s="1">
        <f>'Stock Data'!A20</f>
        <v>44203</v>
      </c>
      <c r="B20">
        <f>LOG('Stock Data'!B20)-LOG('Stock Data'!B19)</f>
        <v>3.8262826774618119E-2</v>
      </c>
      <c r="C20">
        <f>LOG('Stock Data'!C20)-LOG('Stock Data'!C19)</f>
        <v>3.0664498062806356E-2</v>
      </c>
      <c r="D20">
        <f>LOG('Stock Data'!D20)-LOG('Stock Data'!D19)</f>
        <v>2.4875653212020232E-2</v>
      </c>
      <c r="E20">
        <f>LOG('Stock Data'!E20)-LOG('Stock Data'!E19)</f>
        <v>1.0838055751177578E-2</v>
      </c>
      <c r="F20">
        <f>LOG('Stock Data'!F20)-LOG('Stock Data'!F19)</f>
        <v>-1.4032891784163226E-2</v>
      </c>
      <c r="G20">
        <f>LOG('Stock Data'!G20)-LOG('Stock Data'!G19)</f>
        <v>-5.5324885999610274E-3</v>
      </c>
      <c r="H20">
        <f>LOG('Stock Data'!H20)-LOG('Stock Data'!H19)</f>
        <v>-2.5920024684841447E-2</v>
      </c>
      <c r="I20">
        <f>LOG('Stock Data'!I20)-LOG('Stock Data'!I19)</f>
        <v>-1.1529098540159488E-3</v>
      </c>
      <c r="J20">
        <f>LOG('Stock Data'!J20)-LOG('Stock Data'!J19)</f>
        <v>-1.1302833006854085E-2</v>
      </c>
      <c r="K20">
        <f>LOG('Stock Data'!K20)-LOG('Stock Data'!K19)</f>
        <v>9.2456221951795703E-2</v>
      </c>
      <c r="L20">
        <f>LOG('Stock Data'!L20)-LOG('Stock Data'!L19)</f>
        <v>-1.1800812365103663E-2</v>
      </c>
      <c r="M20">
        <f>LOG('Stock Data'!M20)-LOG('Stock Data'!M19)</f>
        <v>2.5576243638532059E-3</v>
      </c>
      <c r="N20">
        <f>LOG('Stock Data'!N20)-LOG('Stock Data'!N19)</f>
        <v>1.8307440572900013E-2</v>
      </c>
      <c r="O20">
        <f>LOG('Stock Data'!O20)-LOG('Stock Data'!O19)</f>
        <v>-1.4287629282121239E-2</v>
      </c>
      <c r="P20">
        <f>LOG('Stock Data'!P20)-LOG('Stock Data'!P19)</f>
        <v>3.4261692445657577E-2</v>
      </c>
      <c r="Q20">
        <f>LOG('Stock Data'!Q20)-LOG('Stock Data'!Q19)</f>
        <v>8.5880137506699761E-3</v>
      </c>
      <c r="R20" s="3">
        <f>'Stock Data'!R20/(100*12)</f>
        <v>1.1000000000000001E-3</v>
      </c>
    </row>
    <row r="21" spans="1:18" x14ac:dyDescent="0.3">
      <c r="A21" s="1">
        <f>'Stock Data'!A21</f>
        <v>44204</v>
      </c>
      <c r="B21">
        <f>LOG('Stock Data'!B21)-LOG('Stock Data'!B20)</f>
        <v>2.9971701469056367E-2</v>
      </c>
      <c r="C21">
        <f>LOG('Stock Data'!C21)-LOG('Stock Data'!C20)</f>
        <v>2.6176357335493616E-2</v>
      </c>
      <c r="D21">
        <f>LOG('Stock Data'!D21)-LOG('Stock Data'!D20)</f>
        <v>-1.0442612156524866E-2</v>
      </c>
      <c r="E21">
        <f>LOG('Stock Data'!E21)-LOG('Stock Data'!E20)</f>
        <v>4.5357692876822675E-2</v>
      </c>
      <c r="F21">
        <f>LOG('Stock Data'!F21)-LOG('Stock Data'!F20)</f>
        <v>1.9914501717972044E-2</v>
      </c>
      <c r="G21">
        <f>LOG('Stock Data'!G21)-LOG('Stock Data'!G20)</f>
        <v>7.4523284003866763E-3</v>
      </c>
      <c r="H21">
        <f>LOG('Stock Data'!H21)-LOG('Stock Data'!H20)</f>
        <v>-1.1918524470324154E-2</v>
      </c>
      <c r="I21">
        <f>LOG('Stock Data'!I21)-LOG('Stock Data'!I20)</f>
        <v>1.9869460894828439E-2</v>
      </c>
      <c r="J21">
        <f>LOG('Stock Data'!J21)-LOG('Stock Data'!J20)</f>
        <v>-1.6881714748429921E-2</v>
      </c>
      <c r="K21">
        <f>LOG('Stock Data'!K21)-LOG('Stock Data'!K20)</f>
        <v>-9.3775487270615354E-3</v>
      </c>
      <c r="L21">
        <f>LOG('Stock Data'!L21)-LOG('Stock Data'!L20)</f>
        <v>4.6069620033786229E-3</v>
      </c>
      <c r="M21">
        <f>LOG('Stock Data'!M21)-LOG('Stock Data'!M20)</f>
        <v>4.3534324805499347E-2</v>
      </c>
      <c r="N21">
        <f>LOG('Stock Data'!N21)-LOG('Stock Data'!N20)</f>
        <v>-5.5706191699673724E-3</v>
      </c>
      <c r="O21">
        <f>LOG('Stock Data'!O21)-LOG('Stock Data'!O20)</f>
        <v>-3.434431451760922E-2</v>
      </c>
      <c r="P21">
        <f>LOG('Stock Data'!P21)-LOG('Stock Data'!P20)</f>
        <v>-4.8368223434557489E-2</v>
      </c>
      <c r="Q21">
        <f>LOG('Stock Data'!Q21)-LOG('Stock Data'!Q20)</f>
        <v>1.0587075393877043E-2</v>
      </c>
      <c r="R21" s="3">
        <f>'Stock Data'!R21/(100*12)</f>
        <v>1.0666666666666667E-3</v>
      </c>
    </row>
    <row r="22" spans="1:18" x14ac:dyDescent="0.3">
      <c r="A22" s="1">
        <f>'Stock Data'!A22</f>
        <v>44205</v>
      </c>
      <c r="B22">
        <f>LOG('Stock Data'!B22)-LOG('Stock Data'!B21)</f>
        <v>1.8786212296932892E-2</v>
      </c>
      <c r="C22">
        <f>LOG('Stock Data'!C22)-LOG('Stock Data'!C21)</f>
        <v>2.4343903807249045E-2</v>
      </c>
      <c r="D22">
        <f>LOG('Stock Data'!D22)-LOG('Stock Data'!D21)</f>
        <v>1.8187558135212889E-2</v>
      </c>
      <c r="E22">
        <f>LOG('Stock Data'!E22)-LOG('Stock Data'!E21)</f>
        <v>3.064836567202267E-2</v>
      </c>
      <c r="F22">
        <f>LOG('Stock Data'!F22)-LOG('Stock Data'!F21)</f>
        <v>1.081429908285525E-3</v>
      </c>
      <c r="G22">
        <f>LOG('Stock Data'!G22)-LOG('Stock Data'!G21)</f>
        <v>1.4178641084820587E-2</v>
      </c>
      <c r="H22">
        <f>LOG('Stock Data'!H22)-LOG('Stock Data'!H21)</f>
        <v>2.2787431897250521E-2</v>
      </c>
      <c r="I22">
        <f>LOG('Stock Data'!I22)-LOG('Stock Data'!I21)</f>
        <v>1.7121099954087171E-3</v>
      </c>
      <c r="J22">
        <f>LOG('Stock Data'!J22)-LOG('Stock Data'!J21)</f>
        <v>9.6420646133910104E-4</v>
      </c>
      <c r="K22">
        <f>LOG('Stock Data'!K22)-LOG('Stock Data'!K21)</f>
        <v>5.75232292740393E-2</v>
      </c>
      <c r="L22">
        <f>LOG('Stock Data'!L22)-LOG('Stock Data'!L21)</f>
        <v>1.1463195937017723E-2</v>
      </c>
      <c r="M22">
        <f>LOG('Stock Data'!M22)-LOG('Stock Data'!M21)</f>
        <v>2.806006589318133E-2</v>
      </c>
      <c r="N22">
        <f>LOG('Stock Data'!N22)-LOG('Stock Data'!N21)</f>
        <v>3.9944908546613256E-2</v>
      </c>
      <c r="O22">
        <f>LOG('Stock Data'!O22)-LOG('Stock Data'!O21)</f>
        <v>3.6325255452090088E-2</v>
      </c>
      <c r="P22">
        <f>LOG('Stock Data'!P22)-LOG('Stock Data'!P21)</f>
        <v>-2.3728520061701674E-2</v>
      </c>
      <c r="Q22">
        <f>LOG('Stock Data'!Q22)-LOG('Stock Data'!Q21)</f>
        <v>1.1853888097556275E-2</v>
      </c>
      <c r="R22" s="3">
        <f>'Stock Data'!R22/(100*12)</f>
        <v>1.1416666666666667E-3</v>
      </c>
    </row>
    <row r="23" spans="1:18" x14ac:dyDescent="0.3">
      <c r="A23" s="1">
        <f>'Stock Data'!A23</f>
        <v>44206</v>
      </c>
      <c r="B23">
        <f>LOG('Stock Data'!B23)-LOG('Stock Data'!B22)</f>
        <v>-3.2226217654028666E-2</v>
      </c>
      <c r="C23">
        <f>LOG('Stock Data'!C23)-LOG('Stock Data'!C22)</f>
        <v>-3.0822382380481628E-2</v>
      </c>
      <c r="D23">
        <f>LOG('Stock Data'!D23)-LOG('Stock Data'!D22)</f>
        <v>-2.6557238081378109E-2</v>
      </c>
      <c r="E23">
        <f>LOG('Stock Data'!E23)-LOG('Stock Data'!E22)</f>
        <v>-3.2807195675654377E-2</v>
      </c>
      <c r="F23">
        <f>LOG('Stock Data'!F23)-LOG('Stock Data'!F22)</f>
        <v>-2.9541800201237756E-2</v>
      </c>
      <c r="G23">
        <f>LOG('Stock Data'!G23)-LOG('Stock Data'!G22)</f>
        <v>-2.5171686439432239E-2</v>
      </c>
      <c r="H23">
        <f>LOG('Stock Data'!H23)-LOG('Stock Data'!H22)</f>
        <v>1.0127120647214216E-2</v>
      </c>
      <c r="I23">
        <f>LOG('Stock Data'!I23)-LOG('Stock Data'!I22)</f>
        <v>-7.3856152229319072E-3</v>
      </c>
      <c r="J23">
        <f>LOG('Stock Data'!J23)-LOG('Stock Data'!J22)</f>
        <v>-3.7078076306118479E-3</v>
      </c>
      <c r="K23">
        <f>LOG('Stock Data'!K23)-LOG('Stock Data'!K22)</f>
        <v>-3.4971354387520748E-2</v>
      </c>
      <c r="L23">
        <f>LOG('Stock Data'!L23)-LOG('Stock Data'!L22)</f>
        <v>-2.374106506735485E-2</v>
      </c>
      <c r="M23">
        <f>LOG('Stock Data'!M23)-LOG('Stock Data'!M22)</f>
        <v>-3.5954706395287417E-2</v>
      </c>
      <c r="N23">
        <f>LOG('Stock Data'!N23)-LOG('Stock Data'!N22)</f>
        <v>2.6068454542190533E-2</v>
      </c>
      <c r="O23">
        <f>LOG('Stock Data'!O23)-LOG('Stock Data'!O22)</f>
        <v>7.5280282537917298E-3</v>
      </c>
      <c r="P23">
        <f>LOG('Stock Data'!P23)-LOG('Stock Data'!P22)</f>
        <v>3.7542744472577994E-2</v>
      </c>
      <c r="Q23">
        <f>LOG('Stock Data'!Q23)-LOG('Stock Data'!Q22)</f>
        <v>-2.0784997359847512E-2</v>
      </c>
      <c r="R23" s="3">
        <f>'Stock Data'!R23/(100*12)</f>
        <v>1.3166666666666667E-3</v>
      </c>
    </row>
    <row r="24" spans="1:18" x14ac:dyDescent="0.3">
      <c r="A24" s="1">
        <f>'Stock Data'!A24</f>
        <v>44207</v>
      </c>
      <c r="B24">
        <f>LOG('Stock Data'!B24)-LOG('Stock Data'!B23)</f>
        <v>2.1174724695995017E-2</v>
      </c>
      <c r="C24">
        <f>LOG('Stock Data'!C24)-LOG('Stock Data'!C23)</f>
        <v>6.9866206376813178E-2</v>
      </c>
      <c r="D24">
        <f>LOG('Stock Data'!D24)-LOG('Stock Data'!D23)</f>
        <v>9.5079993685569519E-3</v>
      </c>
      <c r="E24">
        <f>LOG('Stock Data'!E24)-LOG('Stock Data'!E23)</f>
        <v>4.1847605165997503E-2</v>
      </c>
      <c r="F24">
        <f>LOG('Stock Data'!F24)-LOG('Stock Data'!F23)</f>
        <v>4.3605035723719432E-3</v>
      </c>
      <c r="G24">
        <f>LOG('Stock Data'!G24)-LOG('Stock Data'!G23)</f>
        <v>3.2178000632691273E-2</v>
      </c>
      <c r="H24">
        <f>LOG('Stock Data'!H24)-LOG('Stock Data'!H23)</f>
        <v>2.0785585834356191E-2</v>
      </c>
      <c r="I24">
        <f>LOG('Stock Data'!I24)-LOG('Stock Data'!I23)</f>
        <v>1.0517158185676223E-2</v>
      </c>
      <c r="J24">
        <f>LOG('Stock Data'!J24)-LOG('Stock Data'!J23)</f>
        <v>-3.5842777378322976E-2</v>
      </c>
      <c r="K24">
        <f>LOG('Stock Data'!K24)-LOG('Stock Data'!K23)</f>
        <v>9.2069268399723514E-2</v>
      </c>
      <c r="L24">
        <f>LOG('Stock Data'!L24)-LOG('Stock Data'!L23)</f>
        <v>-7.8088376234535239E-3</v>
      </c>
      <c r="M24">
        <f>LOG('Stock Data'!M24)-LOG('Stock Data'!M23)</f>
        <v>1.62390729743771E-2</v>
      </c>
      <c r="N24">
        <f>LOG('Stock Data'!N24)-LOG('Stock Data'!N23)</f>
        <v>5.7101528977426819E-2</v>
      </c>
      <c r="O24">
        <f>LOG('Stock Data'!O24)-LOG('Stock Data'!O23)</f>
        <v>5.3960568300419176E-2</v>
      </c>
      <c r="P24">
        <f>LOG('Stock Data'!P24)-LOG('Stock Data'!P23)</f>
        <v>3.95212543571688E-2</v>
      </c>
      <c r="Q24">
        <f>LOG('Stock Data'!Q24)-LOG('Stock Data'!Q23)</f>
        <v>2.8561185314131432E-2</v>
      </c>
      <c r="R24" s="3">
        <f>'Stock Data'!R24/(100*12)</f>
        <v>1.2999999999999999E-3</v>
      </c>
    </row>
    <row r="25" spans="1:18" x14ac:dyDescent="0.3">
      <c r="A25" s="1">
        <f>'Stock Data'!A25</f>
        <v>44208</v>
      </c>
      <c r="B25">
        <f>LOG('Stock Data'!B25)-LOG('Stock Data'!B24)</f>
        <v>5.0805832065723866E-2</v>
      </c>
      <c r="C25">
        <f>LOG('Stock Data'!C25)-LOG('Stock Data'!C24)</f>
        <v>4.9132249826575602E-3</v>
      </c>
      <c r="D25">
        <f>LOG('Stock Data'!D25)-LOG('Stock Data'!D24)</f>
        <v>2.3044366667873462E-2</v>
      </c>
      <c r="E25">
        <f>LOG('Stock Data'!E25)-LOG('Stock Data'!E24)</f>
        <v>-1.204591963006818E-2</v>
      </c>
      <c r="F25">
        <f>LOG('Stock Data'!F25)-LOG('Stock Data'!F24)</f>
        <v>-1.7046115985329457E-2</v>
      </c>
      <c r="G25">
        <f>LOG('Stock Data'!G25)-LOG('Stock Data'!G24)</f>
        <v>-2.8266250352264821E-2</v>
      </c>
      <c r="H25">
        <f>LOG('Stock Data'!H25)-LOG('Stock Data'!H24)</f>
        <v>-2.8803557850204609E-2</v>
      </c>
      <c r="I25">
        <f>LOG('Stock Data'!I25)-LOG('Stock Data'!I24)</f>
        <v>4.4905072217309439E-3</v>
      </c>
      <c r="J25">
        <f>LOG('Stock Data'!J25)-LOG('Stock Data'!J24)</f>
        <v>3.8510847274664251E-3</v>
      </c>
      <c r="K25">
        <f>LOG('Stock Data'!K25)-LOG('Stock Data'!K24)</f>
        <v>0.11231225866754069</v>
      </c>
      <c r="L25">
        <f>LOG('Stock Data'!L25)-LOG('Stock Data'!L24)</f>
        <v>-6.1995911623826672E-2</v>
      </c>
      <c r="M25">
        <f>LOG('Stock Data'!M25)-LOG('Stock Data'!M24)</f>
        <v>7.507873537270271E-2</v>
      </c>
      <c r="N25">
        <f>LOG('Stock Data'!N25)-LOG('Stock Data'!N24)</f>
        <v>-2.5703094505641788E-2</v>
      </c>
      <c r="O25">
        <f>LOG('Stock Data'!O25)-LOG('Stock Data'!O24)</f>
        <v>-2.681451836449078E-2</v>
      </c>
      <c r="P25">
        <f>LOG('Stock Data'!P25)-LOG('Stock Data'!P24)</f>
        <v>-2.8763514100980325E-2</v>
      </c>
      <c r="Q25">
        <f>LOG('Stock Data'!Q25)-LOG('Stock Data'!Q24)</f>
        <v>-7.3533832491090578E-4</v>
      </c>
      <c r="R25" s="3">
        <f>'Stock Data'!R25/(100*12)</f>
        <v>1.225E-3</v>
      </c>
    </row>
    <row r="26" spans="1:18" x14ac:dyDescent="0.3">
      <c r="A26" s="1">
        <f>'Stock Data'!A26</f>
        <v>44562</v>
      </c>
      <c r="B26">
        <f>LOG('Stock Data'!B26)-LOG('Stock Data'!B25)</f>
        <v>2.6042076267702718E-2</v>
      </c>
      <c r="C26">
        <f>LOG('Stock Data'!C26)-LOG('Stock Data'!C25)</f>
        <v>2.8500414463561441E-4</v>
      </c>
      <c r="D26">
        <f>LOG('Stock Data'!D26)-LOG('Stock Data'!D25)</f>
        <v>-2.4441811683813874E-2</v>
      </c>
      <c r="E26">
        <f>LOG('Stock Data'!E26)-LOG('Stock Data'!E25)</f>
        <v>3.1552410434332323E-3</v>
      </c>
      <c r="F26">
        <f>LOG('Stock Data'!F26)-LOG('Stock Data'!F25)</f>
        <v>3.5417491053826744E-2</v>
      </c>
      <c r="G26">
        <f>LOG('Stock Data'!G26)-LOG('Stock Data'!G25)</f>
        <v>1.0624350975261709E-2</v>
      </c>
      <c r="H26">
        <f>LOG('Stock Data'!H26)-LOG('Stock Data'!H25)</f>
        <v>-3.0860673979913322E-3</v>
      </c>
      <c r="I26">
        <f>LOG('Stock Data'!I26)-LOG('Stock Data'!I25)</f>
        <v>4.7764661497636141E-2</v>
      </c>
      <c r="J26">
        <f>LOG('Stock Data'!J26)-LOG('Stock Data'!J25)</f>
        <v>1.5492292204526192E-2</v>
      </c>
      <c r="K26">
        <f>LOG('Stock Data'!K26)-LOG('Stock Data'!K25)</f>
        <v>-4.6891988998399858E-2</v>
      </c>
      <c r="L26">
        <f>LOG('Stock Data'!L26)-LOG('Stock Data'!L25)</f>
        <v>2.6220956824697161E-2</v>
      </c>
      <c r="M26">
        <f>LOG('Stock Data'!M26)-LOG('Stock Data'!M25)</f>
        <v>4.7244801883841392E-2</v>
      </c>
      <c r="N26">
        <f>LOG('Stock Data'!N26)-LOG('Stock Data'!N25)</f>
        <v>-3.0393288917030414E-2</v>
      </c>
      <c r="O26">
        <f>LOG('Stock Data'!O26)-LOG('Stock Data'!O25)</f>
        <v>-1.2503227027702568E-3</v>
      </c>
      <c r="P26">
        <f>LOG('Stock Data'!P26)-LOG('Stock Data'!P25)</f>
        <v>2.4178893933479717E-3</v>
      </c>
      <c r="Q26">
        <f>LOG('Stock Data'!Q26)-LOG('Stock Data'!Q25)</f>
        <v>1.6234878967956057E-2</v>
      </c>
      <c r="R26" s="3">
        <f>'Stock Data'!R26/(100*12)</f>
        <v>1.4666666666666667E-3</v>
      </c>
    </row>
    <row r="27" spans="1:18" x14ac:dyDescent="0.3">
      <c r="A27" s="1">
        <f>'Stock Data'!A27</f>
        <v>44563</v>
      </c>
      <c r="B27">
        <f>LOG('Stock Data'!B27)-LOG('Stock Data'!B26)</f>
        <v>-9.4308214685114855E-3</v>
      </c>
      <c r="C27">
        <f>LOG('Stock Data'!C27)-LOG('Stock Data'!C26)</f>
        <v>-3.3562606869954603E-2</v>
      </c>
      <c r="D27">
        <f>LOG('Stock Data'!D27)-LOG('Stock Data'!D26)</f>
        <v>-4.805317311560886E-2</v>
      </c>
      <c r="E27">
        <f>LOG('Stock Data'!E27)-LOG('Stock Data'!E26)</f>
        <v>-2.2930862485100345E-2</v>
      </c>
      <c r="F27">
        <f>LOG('Stock Data'!F27)-LOG('Stock Data'!F26)</f>
        <v>3.8863868491483267E-3</v>
      </c>
      <c r="G27">
        <f>LOG('Stock Data'!G27)-LOG('Stock Data'!G26)</f>
        <v>-1.4723256820706299E-2</v>
      </c>
      <c r="H27">
        <f>LOG('Stock Data'!H27)-LOG('Stock Data'!H26)</f>
        <v>-3.1458047178857473E-2</v>
      </c>
      <c r="I27">
        <f>LOG('Stock Data'!I27)-LOG('Stock Data'!I26)</f>
        <v>-2.424125828134116E-3</v>
      </c>
      <c r="J27">
        <f>LOG('Stock Data'!J27)-LOG('Stock Data'!J26)</f>
        <v>-2.4917570264073152E-2</v>
      </c>
      <c r="K27">
        <f>LOG('Stock Data'!K27)-LOG('Stock Data'!K26)</f>
        <v>-7.4833917635937608E-2</v>
      </c>
      <c r="L27">
        <f>LOG('Stock Data'!L27)-LOG('Stock Data'!L26)</f>
        <v>-3.7254296963128652E-2</v>
      </c>
      <c r="M27">
        <f>LOG('Stock Data'!M27)-LOG('Stock Data'!M26)</f>
        <v>-4.5015740624764877E-2</v>
      </c>
      <c r="N27">
        <f>LOG('Stock Data'!N27)-LOG('Stock Data'!N26)</f>
        <v>-0.14569797013865093</v>
      </c>
      <c r="O27">
        <f>LOG('Stock Data'!O27)-LOG('Stock Data'!O26)</f>
        <v>1.0655733212134422E-2</v>
      </c>
      <c r="P27">
        <f>LOG('Stock Data'!P27)-LOG('Stock Data'!P26)</f>
        <v>9.6342307722115494E-2</v>
      </c>
      <c r="Q27">
        <f>LOG('Stock Data'!Q27)-LOG('Stock Data'!Q26)</f>
        <v>-2.4161753253334251E-2</v>
      </c>
      <c r="R27" s="3">
        <f>'Stock Data'!R27/(100*12)</f>
        <v>1.6083333333333334E-3</v>
      </c>
    </row>
    <row r="28" spans="1:18" x14ac:dyDescent="0.3">
      <c r="A28" s="1">
        <f>'Stock Data'!A28</f>
        <v>44564</v>
      </c>
      <c r="B28">
        <f>LOG('Stock Data'!B28)-LOG('Stock Data'!B27)</f>
        <v>-2.3880607848629776E-2</v>
      </c>
      <c r="C28">
        <f>LOG('Stock Data'!C28)-LOG('Stock Data'!C27)</f>
        <v>-2.0057504499425338E-2</v>
      </c>
      <c r="D28">
        <f>LOG('Stock Data'!D28)-LOG('Stock Data'!D27)</f>
        <v>7.8330927013192664E-3</v>
      </c>
      <c r="E28">
        <f>LOG('Stock Data'!E28)-LOG('Stock Data'!E27)</f>
        <v>-8.6393133729156801E-3</v>
      </c>
      <c r="F28">
        <f>LOG('Stock Data'!F28)-LOG('Stock Data'!F27)</f>
        <v>-2.2577291900351515E-2</v>
      </c>
      <c r="G28">
        <f>LOG('Stock Data'!G28)-LOG('Stock Data'!G27)</f>
        <v>-1.0515659871923599E-2</v>
      </c>
      <c r="H28">
        <f>LOG('Stock Data'!H28)-LOG('Stock Data'!H27)</f>
        <v>-2.6029659362005741E-2</v>
      </c>
      <c r="I28">
        <f>LOG('Stock Data'!I28)-LOG('Stock Data'!I27)</f>
        <v>-1.7864963947854751E-2</v>
      </c>
      <c r="J28">
        <f>LOG('Stock Data'!J28)-LOG('Stock Data'!J27)</f>
        <v>-1.1093578199404819E-2</v>
      </c>
      <c r="K28">
        <f>LOG('Stock Data'!K28)-LOG('Stock Data'!K27)</f>
        <v>-1.4246206675907702E-2</v>
      </c>
      <c r="L28">
        <f>LOG('Stock Data'!L28)-LOG('Stock Data'!L27)</f>
        <v>1.4453928156647589E-2</v>
      </c>
      <c r="M28">
        <f>LOG('Stock Data'!M28)-LOG('Stock Data'!M27)</f>
        <v>-5.2916251526609726E-2</v>
      </c>
      <c r="N28">
        <f>LOG('Stock Data'!N28)-LOG('Stock Data'!N27)</f>
        <v>-4.3645213222265111E-2</v>
      </c>
      <c r="O28">
        <f>LOG('Stock Data'!O28)-LOG('Stock Data'!O27)</f>
        <v>-2.4155162029052546E-2</v>
      </c>
      <c r="P28">
        <f>LOG('Stock Data'!P28)-LOG('Stock Data'!P27)</f>
        <v>1.298335572097753E-2</v>
      </c>
      <c r="Q28">
        <f>LOG('Stock Data'!Q28)-LOG('Stock Data'!Q27)</f>
        <v>-1.529796881038159E-2</v>
      </c>
      <c r="R28" s="3">
        <f>'Stock Data'!R28/(100*12)</f>
        <v>1.7749999999999999E-3</v>
      </c>
    </row>
    <row r="29" spans="1:18" x14ac:dyDescent="0.3">
      <c r="A29" s="1">
        <f>'Stock Data'!A29</f>
        <v>44565</v>
      </c>
      <c r="B29">
        <f>LOG('Stock Data'!B29)-LOG('Stock Data'!B28)</f>
        <v>2.3930521017505146E-2</v>
      </c>
      <c r="C29">
        <f>LOG('Stock Data'!C29)-LOG('Stock Data'!C28)</f>
        <v>1.8599998012916785E-2</v>
      </c>
      <c r="D29">
        <f>LOG('Stock Data'!D29)-LOG('Stock Data'!D28)</f>
        <v>3.1316535308358429E-2</v>
      </c>
      <c r="E29">
        <f>LOG('Stock Data'!E29)-LOG('Stock Data'!E28)</f>
        <v>1.4626650328949165E-2</v>
      </c>
      <c r="F29">
        <f>LOG('Stock Data'!F29)-LOG('Stock Data'!F28)</f>
        <v>3.580176443177896E-2</v>
      </c>
      <c r="G29">
        <f>LOG('Stock Data'!G29)-LOG('Stock Data'!G28)</f>
        <v>4.2011183256224438E-2</v>
      </c>
      <c r="H29">
        <f>LOG('Stock Data'!H29)-LOG('Stock Data'!H28)</f>
        <v>-8.2653693694632047E-3</v>
      </c>
      <c r="I29">
        <f>LOG('Stock Data'!I29)-LOG('Stock Data'!I28)</f>
        <v>-2.2291095340127853E-3</v>
      </c>
      <c r="J29">
        <f>LOG('Stock Data'!J29)-LOG('Stock Data'!J28)</f>
        <v>2.0431709778895524E-2</v>
      </c>
      <c r="K29">
        <f>LOG('Stock Data'!K29)-LOG('Stock Data'!K28)</f>
        <v>5.2005928992840733E-2</v>
      </c>
      <c r="L29">
        <f>LOG('Stock Data'!L29)-LOG('Stock Data'!L28)</f>
        <v>-3.2053658803311791E-2</v>
      </c>
      <c r="M29">
        <f>LOG('Stock Data'!M29)-LOG('Stock Data'!M28)</f>
        <v>4.7780533109741175E-2</v>
      </c>
      <c r="N29">
        <f>LOG('Stock Data'!N29)-LOG('Stock Data'!N28)</f>
        <v>-1.6731789010260512E-2</v>
      </c>
      <c r="O29">
        <f>LOG('Stock Data'!O29)-LOG('Stock Data'!O28)</f>
        <v>-2.0548911363355238E-2</v>
      </c>
      <c r="P29">
        <f>LOG('Stock Data'!P29)-LOG('Stock Data'!P28)</f>
        <v>1.7400040943006623E-2</v>
      </c>
      <c r="Q29">
        <f>LOG('Stock Data'!Q29)-LOG('Stock Data'!Q28)</f>
        <v>1.7287314433003242E-2</v>
      </c>
      <c r="R29" s="3">
        <f>'Stock Data'!R29/(100*12)</f>
        <v>2.2916666666666667E-3</v>
      </c>
    </row>
    <row r="30" spans="1:18" x14ac:dyDescent="0.3">
      <c r="A30" s="1">
        <f>'Stock Data'!A30</f>
        <v>44566</v>
      </c>
      <c r="B30">
        <f>LOG('Stock Data'!B30)-LOG('Stock Data'!B29)</f>
        <v>-4.5527409575403244E-2</v>
      </c>
      <c r="C30">
        <f>LOG('Stock Data'!C30)-LOG('Stock Data'!C29)</f>
        <v>-4.6886678871260301E-2</v>
      </c>
      <c r="D30">
        <f>LOG('Stock Data'!D30)-LOG('Stock Data'!D29)</f>
        <v>-0.12745946925581642</v>
      </c>
      <c r="E30">
        <f>LOG('Stock Data'!E30)-LOG('Stock Data'!E29)</f>
        <v>-8.9961153052728449E-2</v>
      </c>
      <c r="F30">
        <f>LOG('Stock Data'!F30)-LOG('Stock Data'!F29)</f>
        <v>8.3090872400357618E-3</v>
      </c>
      <c r="G30">
        <f>LOG('Stock Data'!G30)-LOG('Stock Data'!G29)</f>
        <v>1.5056821916457741E-2</v>
      </c>
      <c r="H30">
        <f>LOG('Stock Data'!H30)-LOG('Stock Data'!H29)</f>
        <v>-5.923999844992478E-2</v>
      </c>
      <c r="I30">
        <f>LOG('Stock Data'!I30)-LOG('Stock Data'!I29)</f>
        <v>2.2276394711151948E-2</v>
      </c>
      <c r="J30">
        <f>LOG('Stock Data'!J30)-LOG('Stock Data'!J29)</f>
        <v>-5.6810733893391863E-2</v>
      </c>
      <c r="K30">
        <f>LOG('Stock Data'!K30)-LOG('Stock Data'!K29)</f>
        <v>-0.16932371398949297</v>
      </c>
      <c r="L30">
        <f>LOG('Stock Data'!L30)-LOG('Stock Data'!L29)</f>
        <v>-8.9704991245814547E-2</v>
      </c>
      <c r="M30">
        <f>LOG('Stock Data'!M30)-LOG('Stock Data'!M29)</f>
        <v>-3.866816030836695E-2</v>
      </c>
      <c r="N30">
        <f>LOG('Stock Data'!N30)-LOG('Stock Data'!N29)</f>
        <v>-0.29348878124277711</v>
      </c>
      <c r="O30">
        <f>LOG('Stock Data'!O30)-LOG('Stock Data'!O29)</f>
        <v>-6.3367633003728718E-2</v>
      </c>
      <c r="P30">
        <f>LOG('Stock Data'!P30)-LOG('Stock Data'!P29)</f>
        <v>1.5709129765166585E-2</v>
      </c>
      <c r="Q30">
        <f>LOG('Stock Data'!Q30)-LOG('Stock Data'!Q29)</f>
        <v>-4.1072270733580218E-2</v>
      </c>
      <c r="R30" s="3">
        <f>'Stock Data'!R30/(100*12)</f>
        <v>2.4166666666666668E-3</v>
      </c>
    </row>
    <row r="31" spans="1:18" x14ac:dyDescent="0.3">
      <c r="A31" s="1">
        <f>'Stock Data'!A31</f>
        <v>44567</v>
      </c>
      <c r="B31">
        <f>LOG('Stock Data'!B31)-LOG('Stock Data'!B30)</f>
        <v>-1.9295077763576973E-2</v>
      </c>
      <c r="C31">
        <f>LOG('Stock Data'!C31)-LOG('Stock Data'!C30)</f>
        <v>-3.9588702216875049E-3</v>
      </c>
      <c r="D31">
        <f>LOG('Stock Data'!D31)-LOG('Stock Data'!D30)</f>
        <v>-4.9702635578130483E-4</v>
      </c>
      <c r="E31">
        <f>LOG('Stock Data'!E31)-LOG('Stock Data'!E30)</f>
        <v>5.5557573882598632E-3</v>
      </c>
      <c r="F31">
        <f>LOG('Stock Data'!F31)-LOG('Stock Data'!F30)</f>
        <v>-3.1882058320364948E-3</v>
      </c>
      <c r="G31">
        <f>LOG('Stock Data'!G31)-LOG('Stock Data'!G30)</f>
        <v>-8.1322251459070127E-2</v>
      </c>
      <c r="H31">
        <f>LOG('Stock Data'!H31)-LOG('Stock Data'!H30)</f>
        <v>4.4680200730814246E-2</v>
      </c>
      <c r="I31">
        <f>LOG('Stock Data'!I31)-LOG('Stock Data'!I30)</f>
        <v>-3.8179641043609713E-2</v>
      </c>
      <c r="J31">
        <f>LOG('Stock Data'!J31)-LOG('Stock Data'!J30)</f>
        <v>1.0306941105779899E-2</v>
      </c>
      <c r="K31">
        <f>LOG('Stock Data'!K31)-LOG('Stock Data'!K30)</f>
        <v>4.1961145936082467E-3</v>
      </c>
      <c r="L31">
        <f>LOG('Stock Data'!L31)-LOG('Stock Data'!L30)</f>
        <v>1.1647454198548957E-3</v>
      </c>
      <c r="M31">
        <f>LOG('Stock Data'!M31)-LOG('Stock Data'!M30)</f>
        <v>4.7983365378595266E-2</v>
      </c>
      <c r="N31">
        <f>LOG('Stock Data'!N31)-LOG('Stock Data'!N30)</f>
        <v>1.5575754231752503E-2</v>
      </c>
      <c r="O31">
        <f>LOG('Stock Data'!O31)-LOG('Stock Data'!O30)</f>
        <v>1.6903510916649989E-2</v>
      </c>
      <c r="P31">
        <f>LOG('Stock Data'!P31)-LOG('Stock Data'!P30)</f>
        <v>5.739125411255519E-2</v>
      </c>
      <c r="Q31">
        <f>LOG('Stock Data'!Q31)-LOG('Stock Data'!Q30)</f>
        <v>2.010881152248789E-3</v>
      </c>
      <c r="R31" s="3">
        <f>'Stock Data'!R31/(100*12)</f>
        <v>2.6166666666666669E-3</v>
      </c>
    </row>
    <row r="32" spans="1:18" x14ac:dyDescent="0.3">
      <c r="A32" s="1">
        <f>'Stock Data'!A32</f>
        <v>44568</v>
      </c>
      <c r="B32">
        <f>LOG('Stock Data'!B32)-LOG('Stock Data'!B31)</f>
        <v>-4.2135009587594752E-2</v>
      </c>
      <c r="C32">
        <f>LOG('Stock Data'!C32)-LOG('Stock Data'!C31)</f>
        <v>-3.0731565873116207E-2</v>
      </c>
      <c r="D32">
        <f>LOG('Stock Data'!D32)-LOG('Stock Data'!D31)</f>
        <v>-6.0791984400921706E-2</v>
      </c>
      <c r="E32">
        <f>LOG('Stock Data'!E32)-LOG('Stock Data'!E31)</f>
        <v>-2.7026634884522949E-2</v>
      </c>
      <c r="F32">
        <f>LOG('Stock Data'!F32)-LOG('Stock Data'!F31)</f>
        <v>-4.1408088185175274E-3</v>
      </c>
      <c r="G32">
        <f>LOG('Stock Data'!G32)-LOG('Stock Data'!G31)</f>
        <v>-2.2687524466482367E-2</v>
      </c>
      <c r="H32">
        <f>LOG('Stock Data'!H32)-LOG('Stock Data'!H31)</f>
        <v>-7.1695738944571819E-2</v>
      </c>
      <c r="I32">
        <f>LOG('Stock Data'!I32)-LOG('Stock Data'!I31)</f>
        <v>-1.1176001680611947E-2</v>
      </c>
      <c r="J32">
        <f>LOG('Stock Data'!J32)-LOG('Stock Data'!J31)</f>
        <v>-8.1730261054834941E-2</v>
      </c>
      <c r="K32">
        <f>LOG('Stock Data'!K32)-LOG('Stock Data'!K31)</f>
        <v>-9.911957598981247E-2</v>
      </c>
      <c r="L32">
        <f>LOG('Stock Data'!L32)-LOG('Stock Data'!L31)</f>
        <v>-7.5021519789200797E-2</v>
      </c>
      <c r="M32">
        <f>LOG('Stock Data'!M32)-LOG('Stock Data'!M31)</f>
        <v>-9.9823242212266905E-3</v>
      </c>
      <c r="N32">
        <f>LOG('Stock Data'!N32)-LOG('Stock Data'!N31)</f>
        <v>-5.145315738597378E-2</v>
      </c>
      <c r="O32">
        <f>LOG('Stock Data'!O32)-LOG('Stock Data'!O31)</f>
        <v>-8.2486359616031457E-2</v>
      </c>
      <c r="P32">
        <f>LOG('Stock Data'!P32)-LOG('Stock Data'!P31)</f>
        <v>-4.8641852477301795E-2</v>
      </c>
      <c r="Q32">
        <f>LOG('Stock Data'!Q32)-LOG('Stock Data'!Q31)</f>
        <v>-4.0418395899286974E-2</v>
      </c>
      <c r="R32" s="3">
        <f>'Stock Data'!R32/(100*12)</f>
        <v>2.4166666666666668E-3</v>
      </c>
    </row>
    <row r="33" spans="1:18" x14ac:dyDescent="0.3">
      <c r="A33" s="1">
        <f>'Stock Data'!A33</f>
        <v>44569</v>
      </c>
      <c r="B33">
        <f>LOG('Stock Data'!B33)-LOG('Stock Data'!B32)</f>
        <v>7.3186226746013272E-2</v>
      </c>
      <c r="C33">
        <f>LOG('Stock Data'!C33)-LOG('Stock Data'!C32)</f>
        <v>3.4862424623357313E-2</v>
      </c>
      <c r="D33">
        <f>LOG('Stock Data'!D33)-LOG('Stock Data'!D32)</f>
        <v>0.10371266252822942</v>
      </c>
      <c r="E33">
        <f>LOG('Stock Data'!E33)-LOG('Stock Data'!E32)</f>
        <v>2.8687130234074321E-2</v>
      </c>
      <c r="F33">
        <f>LOG('Stock Data'!F33)-LOG('Stock Data'!F32)</f>
        <v>-8.102651843608033E-3</v>
      </c>
      <c r="G33">
        <f>LOG('Stock Data'!G33)-LOG('Stock Data'!G32)</f>
        <v>3.132149477948154E-2</v>
      </c>
      <c r="H33">
        <f>LOG('Stock Data'!H33)-LOG('Stock Data'!H32)</f>
        <v>7.0742906160572439E-3</v>
      </c>
      <c r="I33">
        <f>LOG('Stock Data'!I33)-LOG('Stock Data'!I32)</f>
        <v>-1.8137942371683202E-2</v>
      </c>
      <c r="J33">
        <f>LOG('Stock Data'!J33)-LOG('Stock Data'!J32)</f>
        <v>-1.2351564273162197E-2</v>
      </c>
      <c r="K33">
        <f>LOG('Stock Data'!K33)-LOG('Stock Data'!K32)</f>
        <v>8.6407610473674623E-2</v>
      </c>
      <c r="L33">
        <f>LOG('Stock Data'!L33)-LOG('Stock Data'!L32)</f>
        <v>4.6415990561315512E-2</v>
      </c>
      <c r="M33">
        <f>LOG('Stock Data'!M33)-LOG('Stock Data'!M32)</f>
        <v>-1.4596655452336238E-2</v>
      </c>
      <c r="N33">
        <f>LOG('Stock Data'!N33)-LOG('Stock Data'!N32)</f>
        <v>0.10175486055999627</v>
      </c>
      <c r="O33">
        <f>LOG('Stock Data'!O33)-LOG('Stock Data'!O32)</f>
        <v>3.5516295680265042E-2</v>
      </c>
      <c r="P33">
        <f>LOG('Stock Data'!P33)-LOG('Stock Data'!P32)</f>
        <v>3.8543105454717619E-2</v>
      </c>
      <c r="Q33">
        <f>LOG('Stock Data'!Q33)-LOG('Stock Data'!Q32)</f>
        <v>3.6486560988032934E-2</v>
      </c>
      <c r="R33" s="3">
        <f>'Stock Data'!R33/(100*12)</f>
        <v>2.3166666666666665E-3</v>
      </c>
    </row>
    <row r="34" spans="1:18" x14ac:dyDescent="0.3">
      <c r="A34" s="1">
        <f>'Stock Data'!A34</f>
        <v>44570</v>
      </c>
      <c r="B34">
        <f>LOG('Stock Data'!B34)-LOG('Stock Data'!B33)</f>
        <v>-1.1950175547635222E-2</v>
      </c>
      <c r="C34">
        <f>LOG('Stock Data'!C34)-LOG('Stock Data'!C33)</f>
        <v>-3.0681783268671659E-2</v>
      </c>
      <c r="D34">
        <f>LOG('Stock Data'!D34)-LOG('Stock Data'!D33)</f>
        <v>-2.9834524463506096E-2</v>
      </c>
      <c r="E34">
        <f>LOG('Stock Data'!E34)-LOG('Stock Data'!E33)</f>
        <v>-2.7281060196230111E-2</v>
      </c>
      <c r="F34">
        <f>LOG('Stock Data'!F34)-LOG('Stock Data'!F33)</f>
        <v>-3.282771730465317E-2</v>
      </c>
      <c r="G34">
        <f>LOG('Stock Data'!G34)-LOG('Stock Data'!G33)</f>
        <v>4.8436668258475812E-3</v>
      </c>
      <c r="H34">
        <f>LOG('Stock Data'!H34)-LOG('Stock Data'!H33)</f>
        <v>-4.6139098794748534E-3</v>
      </c>
      <c r="I34">
        <f>LOG('Stock Data'!I34)-LOG('Stock Data'!I33)</f>
        <v>-1.6040151902871891E-3</v>
      </c>
      <c r="J34">
        <f>LOG('Stock Data'!J34)-LOG('Stock Data'!J33)</f>
        <v>-5.7630687163230609E-2</v>
      </c>
      <c r="K34">
        <f>LOG('Stock Data'!K34)-LOG('Stock Data'!K33)</f>
        <v>-0.10699980095847894</v>
      </c>
      <c r="L34">
        <f>LOG('Stock Data'!L34)-LOG('Stock Data'!L33)</f>
        <v>2.7751688148398124E-2</v>
      </c>
      <c r="M34">
        <f>LOG('Stock Data'!M34)-LOG('Stock Data'!M33)</f>
        <v>-4.7179077695469251E-2</v>
      </c>
      <c r="N34">
        <f>LOG('Stock Data'!N34)-LOG('Stock Data'!N33)</f>
        <v>-4.6972371221825071E-3</v>
      </c>
      <c r="O34">
        <f>LOG('Stock Data'!O34)-LOG('Stock Data'!O33)</f>
        <v>-3.6321136114656483E-3</v>
      </c>
      <c r="P34">
        <f>LOG('Stock Data'!P34)-LOG('Stock Data'!P33)</f>
        <v>-1.6985271722245177E-3</v>
      </c>
      <c r="Q34">
        <f>LOG('Stock Data'!Q34)-LOG('Stock Data'!Q33)</f>
        <v>-1.8957608556817274E-2</v>
      </c>
      <c r="R34" s="3">
        <f>'Stock Data'!R34/(100*12)</f>
        <v>2.9333333333333334E-3</v>
      </c>
    </row>
    <row r="35" spans="1:18" x14ac:dyDescent="0.3">
      <c r="A35" s="1">
        <f>'Stock Data'!A35</f>
        <v>44571</v>
      </c>
      <c r="B35">
        <f>LOG('Stock Data'!B35)-LOG('Stock Data'!B34)</f>
        <v>-5.4363207486720633E-2</v>
      </c>
      <c r="C35">
        <f>LOG('Stock Data'!C35)-LOG('Stock Data'!C34)</f>
        <v>-4.1256816379936279E-2</v>
      </c>
      <c r="D35">
        <f>LOG('Stock Data'!D35)-LOG('Stock Data'!D34)</f>
        <v>-4.5068680770122604E-2</v>
      </c>
      <c r="E35">
        <f>LOG('Stock Data'!E35)-LOG('Stock Data'!E34)</f>
        <v>-4.885238740862663E-2</v>
      </c>
      <c r="F35">
        <f>LOG('Stock Data'!F35)-LOG('Stock Data'!F34)</f>
        <v>7.4654950774988293E-3</v>
      </c>
      <c r="G35">
        <f>LOG('Stock Data'!G35)-LOG('Stock Data'!G34)</f>
        <v>-7.6359256967162281E-3</v>
      </c>
      <c r="H35">
        <f>LOG('Stock Data'!H35)-LOG('Stock Data'!H34)</f>
        <v>-3.044541364395581E-2</v>
      </c>
      <c r="I35">
        <f>LOG('Stock Data'!I35)-LOG('Stock Data'!I34)</f>
        <v>-3.4685965143578912E-2</v>
      </c>
      <c r="J35">
        <f>LOG('Stock Data'!J35)-LOG('Stock Data'!J34)</f>
        <v>-7.8823722786149242E-2</v>
      </c>
      <c r="K35">
        <f>LOG('Stock Data'!K35)-LOG('Stock Data'!K34)</f>
        <v>-6.0927120331785156E-2</v>
      </c>
      <c r="L35">
        <f>LOG('Stock Data'!L35)-LOG('Stock Data'!L34)</f>
        <v>-6.7354897239567002E-2</v>
      </c>
      <c r="M35">
        <f>LOG('Stock Data'!M35)-LOG('Stock Data'!M34)</f>
        <v>-1.0418504231824333E-2</v>
      </c>
      <c r="N35">
        <f>LOG('Stock Data'!N35)-LOG('Stock Data'!N34)</f>
        <v>3.2409517121017695E-2</v>
      </c>
      <c r="O35">
        <f>LOG('Stock Data'!O35)-LOG('Stock Data'!O34)</f>
        <v>-3.7386118507307886E-2</v>
      </c>
      <c r="P35">
        <f>LOG('Stock Data'!P35)-LOG('Stock Data'!P34)</f>
        <v>-2.0628509766753789E-2</v>
      </c>
      <c r="Q35">
        <f>LOG('Stock Data'!Q35)-LOG('Stock Data'!Q34)</f>
        <v>-3.7654895394318988E-2</v>
      </c>
      <c r="R35" s="3">
        <f>'Stock Data'!R35/(100*12)</f>
        <v>3.3166666666666665E-3</v>
      </c>
    </row>
    <row r="36" spans="1:18" x14ac:dyDescent="0.3">
      <c r="A36" s="1">
        <f>'Stock Data'!A36</f>
        <v>44572</v>
      </c>
      <c r="B36">
        <f>LOG('Stock Data'!B36)-LOG('Stock Data'!B35)</f>
        <v>5.0016325362830294E-2</v>
      </c>
      <c r="C36">
        <f>LOG('Stock Data'!C36)-LOG('Stock Data'!C35)</f>
        <v>-1.4968995493820358E-3</v>
      </c>
      <c r="D36">
        <f>LOG('Stock Data'!D36)-LOG('Stock Data'!D35)</f>
        <v>-3.8310286141235217E-2</v>
      </c>
      <c r="E36">
        <f>LOG('Stock Data'!E36)-LOG('Stock Data'!E35)</f>
        <v>-5.9199269601566407E-3</v>
      </c>
      <c r="F36">
        <f>LOG('Stock Data'!F36)-LOG('Stock Data'!F35)</f>
        <v>2.5087849573458332E-2</v>
      </c>
      <c r="G36">
        <f>LOG('Stock Data'!G36)-LOG('Stock Data'!G35)</f>
        <v>4.0564252171737536E-2</v>
      </c>
      <c r="H36">
        <f>LOG('Stock Data'!H36)-LOG('Stock Data'!H35)</f>
        <v>7.9612776714086841E-2</v>
      </c>
      <c r="I36">
        <f>LOG('Stock Data'!I36)-LOG('Stock Data'!I35)</f>
        <v>2.4709804714189154E-2</v>
      </c>
      <c r="J36">
        <f>LOG('Stock Data'!J36)-LOG('Stock Data'!J35)</f>
        <v>3.8941628653162752E-2</v>
      </c>
      <c r="K36">
        <f>LOG('Stock Data'!K36)-LOG('Stock Data'!K35)</f>
        <v>4.8526720982946747E-2</v>
      </c>
      <c r="L36">
        <f>LOG('Stock Data'!L36)-LOG('Stock Data'!L35)</f>
        <v>5.1167644384808586E-2</v>
      </c>
      <c r="M36">
        <f>LOG('Stock Data'!M36)-LOG('Stock Data'!M35)</f>
        <v>3.7098186865668348E-2</v>
      </c>
      <c r="N36">
        <f>LOG('Stock Data'!N36)-LOG('Stock Data'!N35)</f>
        <v>9.5373203902516801E-2</v>
      </c>
      <c r="O36">
        <f>LOG('Stock Data'!O36)-LOG('Stock Data'!O35)</f>
        <v>7.5998891316281902E-2</v>
      </c>
      <c r="P36">
        <f>LOG('Stock Data'!P36)-LOG('Stock Data'!P35)</f>
        <v>9.6214894535431972E-2</v>
      </c>
      <c r="Q36">
        <f>LOG('Stock Data'!Q36)-LOG('Stock Data'!Q35)</f>
        <v>3.3783156928809621E-2</v>
      </c>
      <c r="R36" s="3">
        <f>'Stock Data'!R36/(100*12)</f>
        <v>3.2416666666666666E-3</v>
      </c>
    </row>
    <row r="37" spans="1:18" x14ac:dyDescent="0.3">
      <c r="A37" s="1">
        <f>'Stock Data'!A37</f>
        <v>44573</v>
      </c>
      <c r="B37">
        <f>LOG('Stock Data'!B37)-LOG('Stock Data'!B36)</f>
        <v>-1.9678285059592238E-2</v>
      </c>
      <c r="C37">
        <f>LOG('Stock Data'!C37)-LOG('Stock Data'!C36)</f>
        <v>3.4283375235841795E-2</v>
      </c>
      <c r="D37">
        <f>LOG('Stock Data'!D37)-LOG('Stock Data'!D36)</f>
        <v>-3.026461887498666E-2</v>
      </c>
      <c r="E37">
        <f>LOG('Stock Data'!E37)-LOG('Stock Data'!E36)</f>
        <v>2.4631431446645369E-2</v>
      </c>
      <c r="F37">
        <f>LOG('Stock Data'!F37)-LOG('Stock Data'!F36)</f>
        <v>1.2154051793585641E-2</v>
      </c>
      <c r="G37">
        <f>LOG('Stock Data'!G37)-LOG('Stock Data'!G36)</f>
        <v>2.6682568200966372E-2</v>
      </c>
      <c r="H37">
        <f>LOG('Stock Data'!H37)-LOG('Stock Data'!H36)</f>
        <v>3.7086248481311923E-2</v>
      </c>
      <c r="I37">
        <f>LOG('Stock Data'!I37)-LOG('Stock Data'!I36)</f>
        <v>4.536073758890824E-2</v>
      </c>
      <c r="J37">
        <f>LOG('Stock Data'!J37)-LOG('Stock Data'!J36)</f>
        <v>2.118929906993805E-2</v>
      </c>
      <c r="K37">
        <f>LOG('Stock Data'!K37)-LOG('Stock Data'!K36)</f>
        <v>9.0255242799642588E-2</v>
      </c>
      <c r="L37">
        <f>LOG('Stock Data'!L37)-LOG('Stock Data'!L36)</f>
        <v>-4.15661149791271E-2</v>
      </c>
      <c r="M37">
        <f>LOG('Stock Data'!M37)-LOG('Stock Data'!M36)</f>
        <v>2.0413079950160951E-2</v>
      </c>
      <c r="N37">
        <f>LOG('Stock Data'!N37)-LOG('Stock Data'!N36)</f>
        <v>1.1288529423564064E-2</v>
      </c>
      <c r="O37">
        <f>LOG('Stock Data'!O37)-LOG('Stock Data'!O36)</f>
        <v>1.2452899426758313E-2</v>
      </c>
      <c r="P37">
        <f>LOG('Stock Data'!P37)-LOG('Stock Data'!P36)</f>
        <v>-2.8305530473207163E-3</v>
      </c>
      <c r="Q37">
        <f>LOG('Stock Data'!Q37)-LOG('Stock Data'!Q36)</f>
        <v>2.0155622866375289E-2</v>
      </c>
      <c r="R37" s="3">
        <f>'Stock Data'!R37/(100*12)</f>
        <v>3.0166666666666666E-3</v>
      </c>
    </row>
    <row r="38" spans="1:18" x14ac:dyDescent="0.3">
      <c r="A38" s="1">
        <f>'Stock Data'!A38</f>
        <v>44927</v>
      </c>
      <c r="B38">
        <f>LOG('Stock Data'!B38)-LOG('Stock Data'!B37)</f>
        <v>-5.5999757382744431E-2</v>
      </c>
      <c r="C38">
        <f>LOG('Stock Data'!C38)-LOG('Stock Data'!C37)</f>
        <v>-1.8862155340073627E-2</v>
      </c>
      <c r="D38">
        <f>LOG('Stock Data'!D38)-LOG('Stock Data'!D37)</f>
        <v>-5.4964070850040736E-2</v>
      </c>
      <c r="E38">
        <f>LOG('Stock Data'!E38)-LOG('Stock Data'!E37)</f>
        <v>-5.2196306067661791E-2</v>
      </c>
      <c r="F38">
        <f>LOG('Stock Data'!F38)-LOG('Stock Data'!F37)</f>
        <v>-6.9457293522168229E-3</v>
      </c>
      <c r="G38">
        <f>LOG('Stock Data'!G38)-LOG('Stock Data'!G37)</f>
        <v>-2.7960174238266688E-2</v>
      </c>
      <c r="H38">
        <f>LOG('Stock Data'!H38)-LOG('Stock Data'!H37)</f>
        <v>-9.3400262541432078E-3</v>
      </c>
      <c r="I38">
        <f>LOG('Stock Data'!I38)-LOG('Stock Data'!I37)</f>
        <v>4.1047840472230313E-3</v>
      </c>
      <c r="J38">
        <f>LOG('Stock Data'!J38)-LOG('Stock Data'!J37)</f>
        <v>-4.8414517386580647E-2</v>
      </c>
      <c r="K38">
        <f>LOG('Stock Data'!K38)-LOG('Stock Data'!K37)</f>
        <v>-5.8722467725042637E-2</v>
      </c>
      <c r="L38">
        <f>LOG('Stock Data'!L38)-LOG('Stock Data'!L37)</f>
        <v>-4.1357186906828769E-2</v>
      </c>
      <c r="M38">
        <f>LOG('Stock Data'!M38)-LOG('Stock Data'!M37)</f>
        <v>6.0010062054387525E-3</v>
      </c>
      <c r="N38">
        <f>LOG('Stock Data'!N38)-LOG('Stock Data'!N37)</f>
        <v>-8.5116075761229038E-3</v>
      </c>
      <c r="O38">
        <f>LOG('Stock Data'!O38)-LOG('Stock Data'!O37)</f>
        <v>-5.2500926449007945E-2</v>
      </c>
      <c r="P38">
        <f>LOG('Stock Data'!P38)-LOG('Stock Data'!P37)</f>
        <v>-7.2966013709971911E-3</v>
      </c>
      <c r="Q38">
        <f>LOG('Stock Data'!Q38)-LOG('Stock Data'!Q37)</f>
        <v>-2.5587818791716455E-2</v>
      </c>
      <c r="R38" s="3">
        <f>'Stock Data'!R38/(100*12)</f>
        <v>2.9416666666666666E-3</v>
      </c>
    </row>
    <row r="39" spans="1:18" x14ac:dyDescent="0.3">
      <c r="A39" s="1">
        <f>'Stock Data'!A39</f>
        <v>44928</v>
      </c>
      <c r="B39">
        <f>LOG('Stock Data'!B39)-LOG('Stock Data'!B38)</f>
        <v>4.3394254759248074E-2</v>
      </c>
      <c r="C39">
        <f>LOG('Stock Data'!C39)-LOG('Stock Data'!C38)</f>
        <v>8.7024531509376502E-3</v>
      </c>
      <c r="D39">
        <f>LOG('Stock Data'!D39)-LOG('Stock Data'!D38)</f>
        <v>7.9088068892745111E-2</v>
      </c>
      <c r="E39">
        <f>LOG('Stock Data'!E39)-LOG('Stock Data'!E38)</f>
        <v>4.2150093799331767E-2</v>
      </c>
      <c r="F39">
        <f>LOG('Stock Data'!F39)-LOG('Stock Data'!F38)</f>
        <v>-3.3746341874293151E-2</v>
      </c>
      <c r="G39">
        <f>LOG('Stock Data'!G39)-LOG('Stock Data'!G38)</f>
        <v>3.3684050694706702E-3</v>
      </c>
      <c r="H39">
        <f>LOG('Stock Data'!H39)-LOG('Stock Data'!H38)</f>
        <v>9.4343048786105221E-3</v>
      </c>
      <c r="I39">
        <f>LOG('Stock Data'!I39)-LOG('Stock Data'!I38)</f>
        <v>-2.630016892459075E-2</v>
      </c>
      <c r="J39">
        <f>LOG('Stock Data'!J39)-LOG('Stock Data'!J38)</f>
        <v>1.3281244823461602E-2</v>
      </c>
      <c r="K39">
        <f>LOG('Stock Data'!K39)-LOG('Stock Data'!K38)</f>
        <v>0.12251926248488698</v>
      </c>
      <c r="L39">
        <f>LOG('Stock Data'!L39)-LOG('Stock Data'!L38)</f>
        <v>8.6137336772522666E-2</v>
      </c>
      <c r="M39">
        <f>LOG('Stock Data'!M39)-LOG('Stock Data'!M38)</f>
        <v>-6.5190803289065569E-2</v>
      </c>
      <c r="N39">
        <f>LOG('Stock Data'!N39)-LOG('Stock Data'!N38)</f>
        <v>7.4518586604884085E-2</v>
      </c>
      <c r="O39">
        <f>LOG('Stock Data'!O39)-LOG('Stock Data'!O38)</f>
        <v>2.5012322199420067E-2</v>
      </c>
      <c r="P39">
        <f>LOG('Stock Data'!P39)-LOG('Stock Data'!P38)</f>
        <v>2.3297829898115019E-2</v>
      </c>
      <c r="Q39">
        <f>LOG('Stock Data'!Q39)-LOG('Stock Data'!Q38)</f>
        <v>2.3770183196350381E-2</v>
      </c>
      <c r="R39" s="3">
        <f>'Stock Data'!R39/(100*12)</f>
        <v>3.1250000000000002E-3</v>
      </c>
    </row>
    <row r="40" spans="1:18" x14ac:dyDescent="0.3">
      <c r="A40" s="1">
        <f>'Stock Data'!A40</f>
        <v>44929</v>
      </c>
      <c r="B40">
        <f>LOG('Stock Data'!B40)-LOG('Stock Data'!B39)</f>
        <v>8.5427941388283024E-3</v>
      </c>
      <c r="C40">
        <f>LOG('Stock Data'!C40)-LOG('Stock Data'!C39)</f>
        <v>4.8065803407046914E-3</v>
      </c>
      <c r="D40">
        <f>LOG('Stock Data'!D40)-LOG('Stock Data'!D39)</f>
        <v>-3.8324139508067123E-2</v>
      </c>
      <c r="E40">
        <f>LOG('Stock Data'!E40)-LOG('Stock Data'!E39)</f>
        <v>-4.0215163078452854E-2</v>
      </c>
      <c r="F40">
        <f>LOG('Stock Data'!F40)-LOG('Stock Data'!F39)</f>
        <v>-2.7441144603111756E-2</v>
      </c>
      <c r="G40">
        <f>LOG('Stock Data'!G40)-LOG('Stock Data'!G39)</f>
        <v>-7.9622122536870954E-3</v>
      </c>
      <c r="H40">
        <f>LOG('Stock Data'!H40)-LOG('Stock Data'!H39)</f>
        <v>1.2054610955127831E-2</v>
      </c>
      <c r="I40">
        <f>LOG('Stock Data'!I40)-LOG('Stock Data'!I39)</f>
        <v>-1.2496537459243839E-2</v>
      </c>
      <c r="J40">
        <f>LOG('Stock Data'!J40)-LOG('Stock Data'!J39)</f>
        <v>-4.6987664657826445E-2</v>
      </c>
      <c r="K40">
        <f>LOG('Stock Data'!K40)-LOG('Stock Data'!K39)</f>
        <v>7.1055032499869109E-2</v>
      </c>
      <c r="L40">
        <f>LOG('Stock Data'!L40)-LOG('Stock Data'!L39)</f>
        <v>-3.8961847922831083E-2</v>
      </c>
      <c r="M40">
        <f>LOG('Stock Data'!M40)-LOG('Stock Data'!M39)</f>
        <v>-3.4366573916841725E-2</v>
      </c>
      <c r="N40">
        <f>LOG('Stock Data'!N40)-LOG('Stock Data'!N39)</f>
        <v>-4.1699585377273918E-2</v>
      </c>
      <c r="O40">
        <f>LOG('Stock Data'!O40)-LOG('Stock Data'!O39)</f>
        <v>-1.3151955460579678E-2</v>
      </c>
      <c r="P40">
        <f>LOG('Stock Data'!P40)-LOG('Stock Data'!P39)</f>
        <v>-2.5161162041215324E-2</v>
      </c>
      <c r="Q40">
        <f>LOG('Stock Data'!Q40)-LOG('Stock Data'!Q39)</f>
        <v>-1.154054818026129E-2</v>
      </c>
      <c r="R40" s="3">
        <f>'Stock Data'!R40/(100*12)</f>
        <v>3.0500000000000002E-3</v>
      </c>
    </row>
    <row r="41" spans="1:18" x14ac:dyDescent="0.3">
      <c r="A41" s="1">
        <f>'Stock Data'!A41</f>
        <v>44930</v>
      </c>
      <c r="B41">
        <f>LOG('Stock Data'!B41)-LOG('Stock Data'!B40)</f>
        <v>4.8743458350250179E-2</v>
      </c>
      <c r="C41">
        <f>LOG('Stock Data'!C41)-LOG('Stock Data'!C40)</f>
        <v>5.7896681319663301E-2</v>
      </c>
      <c r="D41">
        <f>LOG('Stock Data'!D41)-LOG('Stock Data'!D40)</f>
        <v>3.7348815846304451E-2</v>
      </c>
      <c r="E41">
        <f>LOG('Stock Data'!E41)-LOG('Stock Data'!E40)</f>
        <v>5.6111554168753131E-2</v>
      </c>
      <c r="F41">
        <f>LOG('Stock Data'!F41)-LOG('Stock Data'!F40)</f>
        <v>5.4717654250300285E-3</v>
      </c>
      <c r="G41">
        <f>LOG('Stock Data'!G41)-LOG('Stock Data'!G40)</f>
        <v>2.0035419470358029E-2</v>
      </c>
      <c r="H41">
        <f>LOG('Stock Data'!H41)-LOG('Stock Data'!H40)</f>
        <v>-3.8951495155730154E-2</v>
      </c>
      <c r="I41">
        <f>LOG('Stock Data'!I41)-LOG('Stock Data'!I40)</f>
        <v>3.1485276475164525E-2</v>
      </c>
      <c r="J41">
        <f>LOG('Stock Data'!J41)-LOG('Stock Data'!J40)</f>
        <v>0.11926274522551217</v>
      </c>
      <c r="K41">
        <f>LOG('Stock Data'!K41)-LOG('Stock Data'!K40)</f>
        <v>7.4189841751696184E-2</v>
      </c>
      <c r="L41">
        <f>LOG('Stock Data'!L41)-LOG('Stock Data'!L40)</f>
        <v>4.4431718695059352E-3</v>
      </c>
      <c r="M41">
        <f>LOG('Stock Data'!M41)-LOG('Stock Data'!M40)</f>
        <v>1.3897435280056936E-3</v>
      </c>
      <c r="N41">
        <f>LOG('Stock Data'!N41)-LOG('Stock Data'!N40)</f>
        <v>2.6591081124477167E-2</v>
      </c>
      <c r="O41">
        <f>LOG('Stock Data'!O41)-LOG('Stock Data'!O40)</f>
        <v>-7.6417694381733403E-2</v>
      </c>
      <c r="P41">
        <f>LOG('Stock Data'!P41)-LOG('Stock Data'!P40)</f>
        <v>1.5914860992326751E-2</v>
      </c>
      <c r="Q41">
        <f>LOG('Stock Data'!Q41)-LOG('Stock Data'!Q40)</f>
        <v>1.4955499864691912E-2</v>
      </c>
      <c r="R41" s="3">
        <f>'Stock Data'!R41/(100*12)</f>
        <v>2.8833333333333332E-3</v>
      </c>
    </row>
    <row r="42" spans="1:18" x14ac:dyDescent="0.3">
      <c r="A42" s="1">
        <f>'Stock Data'!A42</f>
        <v>44931</v>
      </c>
      <c r="B42">
        <f>LOG('Stock Data'!B42)-LOG('Stock Data'!B41)</f>
        <v>1.304739321392967E-2</v>
      </c>
      <c r="C42">
        <f>LOG('Stock Data'!C42)-LOG('Stock Data'!C41)</f>
        <v>2.9940991716704612E-2</v>
      </c>
      <c r="D42">
        <f>LOG('Stock Data'!D42)-LOG('Stock Data'!D41)</f>
        <v>1.1106809206259172E-2</v>
      </c>
      <c r="E42">
        <f>LOG('Stock Data'!E42)-LOG('Stock Data'!E41)</f>
        <v>1.8476336351033851E-2</v>
      </c>
      <c r="F42">
        <f>LOG('Stock Data'!F42)-LOG('Stock Data'!F41)</f>
        <v>2.3591718760002767E-2</v>
      </c>
      <c r="G42">
        <f>LOG('Stock Data'!G42)-LOG('Stock Data'!G41)</f>
        <v>9.6814306303580899E-3</v>
      </c>
      <c r="H42">
        <f>LOG('Stock Data'!H42)-LOG('Stock Data'!H41)</f>
        <v>3.9440221590091973E-2</v>
      </c>
      <c r="I42">
        <f>LOG('Stock Data'!I42)-LOG('Stock Data'!I41)</f>
        <v>2.1686421044047943E-2</v>
      </c>
      <c r="J42">
        <f>LOG('Stock Data'!J42)-LOG('Stock Data'!J41)</f>
        <v>-2.4823583725032128E-2</v>
      </c>
      <c r="K42">
        <f>LOG('Stock Data'!K42)-LOG('Stock Data'!K41)</f>
        <v>5.1786405488409848E-3</v>
      </c>
      <c r="L42">
        <f>LOG('Stock Data'!L42)-LOG('Stock Data'!L41)</f>
        <v>9.3888945085889297E-3</v>
      </c>
      <c r="M42">
        <f>LOG('Stock Data'!M42)-LOG('Stock Data'!M41)</f>
        <v>-1.8423082826786175E-2</v>
      </c>
      <c r="N42">
        <f>LOG('Stock Data'!N42)-LOG('Stock Data'!N41)</f>
        <v>-1.604846355098255E-2</v>
      </c>
      <c r="O42">
        <f>LOG('Stock Data'!O42)-LOG('Stock Data'!O41)</f>
        <v>1.2849002342345095E-2</v>
      </c>
      <c r="P42">
        <f>LOG('Stock Data'!P42)-LOG('Stock Data'!P41)</f>
        <v>9.8457931387705422E-3</v>
      </c>
      <c r="Q42">
        <f>LOG('Stock Data'!Q42)-LOG('Stock Data'!Q41)</f>
        <v>6.7847829311245E-3</v>
      </c>
      <c r="R42" s="3">
        <f>'Stock Data'!R42/(100*12)</f>
        <v>2.9749999999999998E-3</v>
      </c>
    </row>
    <row r="43" spans="1:18" x14ac:dyDescent="0.3">
      <c r="A43" s="1">
        <f>'Stock Data'!A43</f>
        <v>44932</v>
      </c>
      <c r="B43">
        <f>LOG('Stock Data'!B43)-LOG('Stock Data'!B42)</f>
        <v>2.1081777450209671E-2</v>
      </c>
      <c r="C43">
        <f>LOG('Stock Data'!C43)-LOG('Stock Data'!C42)</f>
        <v>2.6028402434987274E-2</v>
      </c>
      <c r="D43">
        <f>LOG('Stock Data'!D43)-LOG('Stock Data'!D42)</f>
        <v>6.0688844372504658E-2</v>
      </c>
      <c r="E43">
        <f>LOG('Stock Data'!E43)-LOG('Stock Data'!E42)</f>
        <v>6.053521369681425E-2</v>
      </c>
      <c r="F43">
        <f>LOG('Stock Data'!F43)-LOG('Stock Data'!F42)</f>
        <v>-2.4742391426294308E-2</v>
      </c>
      <c r="G43">
        <f>LOG('Stock Data'!G43)-LOG('Stock Data'!G42)</f>
        <v>-1.41139500409313E-2</v>
      </c>
      <c r="H43">
        <f>LOG('Stock Data'!H43)-LOG('Stock Data'!H42)</f>
        <v>-1.7886524755230671E-2</v>
      </c>
      <c r="I43">
        <f>LOG('Stock Data'!I43)-LOG('Stock Data'!I42)</f>
        <v>-3.7113477855066801E-2</v>
      </c>
      <c r="J43">
        <f>LOG('Stock Data'!J43)-LOG('Stock Data'!J42)</f>
        <v>9.5271088757293843E-3</v>
      </c>
      <c r="K43">
        <f>LOG('Stock Data'!K43)-LOG('Stock Data'!K42)</f>
        <v>0.14067868015606644</v>
      </c>
      <c r="L43">
        <f>LOG('Stock Data'!L43)-LOG('Stock Data'!L42)</f>
        <v>-6.3847691626738978E-2</v>
      </c>
      <c r="M43">
        <f>LOG('Stock Data'!M43)-LOG('Stock Data'!M42)</f>
        <v>-9.9117150602103798E-3</v>
      </c>
      <c r="N43">
        <f>LOG('Stock Data'!N43)-LOG('Stock Data'!N42)</f>
        <v>8.1504267940060826E-2</v>
      </c>
      <c r="O43">
        <f>LOG('Stock Data'!O43)-LOG('Stock Data'!O42)</f>
        <v>-2.6402554195345651E-2</v>
      </c>
      <c r="P43">
        <f>LOG('Stock Data'!P43)-LOG('Stock Data'!P42)</f>
        <v>-5.6886130536335511E-2</v>
      </c>
      <c r="Q43">
        <f>LOG('Stock Data'!Q43)-LOG('Stock Data'!Q42)</f>
        <v>1.6893660652588238E-3</v>
      </c>
      <c r="R43" s="3">
        <f>'Stock Data'!R43/(100*12)</f>
        <v>3.1250000000000002E-3</v>
      </c>
    </row>
    <row r="44" spans="1:18" x14ac:dyDescent="0.3">
      <c r="A44" s="1">
        <f>'Stock Data'!A44</f>
        <v>44933</v>
      </c>
      <c r="B44">
        <f>LOG('Stock Data'!B44)-LOG('Stock Data'!B43)</f>
        <v>3.7621523764670872E-2</v>
      </c>
      <c r="C44">
        <f>LOG('Stock Data'!C44)-LOG('Stock Data'!C43)</f>
        <v>1.7318703264684654E-2</v>
      </c>
      <c r="D44">
        <f>LOG('Stock Data'!D44)-LOG('Stock Data'!D43)</f>
        <v>3.5002857505022522E-2</v>
      </c>
      <c r="E44">
        <f>LOG('Stock Data'!E44)-LOG('Stock Data'!E43)</f>
        <v>-1.2847125685556016E-2</v>
      </c>
      <c r="F44">
        <f>LOG('Stock Data'!F44)-LOG('Stock Data'!F43)</f>
        <v>2.6702374728595046E-2</v>
      </c>
      <c r="G44">
        <f>LOG('Stock Data'!G44)-LOG('Stock Data'!G43)</f>
        <v>3.0366975249045192E-2</v>
      </c>
      <c r="H44">
        <f>LOG('Stock Data'!H44)-LOG('Stock Data'!H43)</f>
        <v>2.9721386494355961E-2</v>
      </c>
      <c r="I44">
        <f>LOG('Stock Data'!I44)-LOG('Stock Data'!I43)</f>
        <v>2.4260665809360926E-2</v>
      </c>
      <c r="J44">
        <f>LOG('Stock Data'!J44)-LOG('Stock Data'!J43)</f>
        <v>2.3135938285634206E-2</v>
      </c>
      <c r="K44">
        <f>LOG('Stock Data'!K44)-LOG('Stock Data'!K43)</f>
        <v>4.3245344756668302E-2</v>
      </c>
      <c r="L44">
        <f>LOG('Stock Data'!L44)-LOG('Stock Data'!L43)</f>
        <v>3.4741786548391218E-3</v>
      </c>
      <c r="M44">
        <f>LOG('Stock Data'!M44)-LOG('Stock Data'!M43)</f>
        <v>-1.8860027509814081E-2</v>
      </c>
      <c r="N44">
        <f>LOG('Stock Data'!N44)-LOG('Stock Data'!N43)</f>
        <v>4.4027362250975255E-2</v>
      </c>
      <c r="O44">
        <f>LOG('Stock Data'!O44)-LOG('Stock Data'!O43)</f>
        <v>1.4462434951175052E-2</v>
      </c>
      <c r="P44">
        <f>LOG('Stock Data'!P44)-LOG('Stock Data'!P43)</f>
        <v>2.3833644988515257E-2</v>
      </c>
      <c r="Q44">
        <f>LOG('Stock Data'!Q44)-LOG('Stock Data'!Q43)</f>
        <v>2.6915874422048791E-2</v>
      </c>
      <c r="R44" s="3">
        <f>'Stock Data'!R44/(100*12)</f>
        <v>3.2499999999999999E-3</v>
      </c>
    </row>
    <row r="45" spans="1:18" x14ac:dyDescent="0.3">
      <c r="A45" s="1">
        <f>'Stock Data'!A45</f>
        <v>44934</v>
      </c>
      <c r="B45">
        <f>LOG('Stock Data'!B45)-LOG('Stock Data'!B44)</f>
        <v>5.4785836283568479E-3</v>
      </c>
      <c r="C45">
        <f>LOG('Stock Data'!C45)-LOG('Stock Data'!C44)</f>
        <v>-5.1519864172808738E-3</v>
      </c>
      <c r="D45">
        <f>LOG('Stock Data'!D45)-LOG('Stock Data'!D44)</f>
        <v>8.969747561445196E-3</v>
      </c>
      <c r="E45">
        <f>LOG('Stock Data'!E45)-LOG('Stock Data'!E44)</f>
        <v>4.008615637675339E-2</v>
      </c>
      <c r="F45">
        <f>LOG('Stock Data'!F45)-LOG('Stock Data'!F44)</f>
        <v>5.3317339741161263E-3</v>
      </c>
      <c r="G45">
        <f>LOG('Stock Data'!G45)-LOG('Stock Data'!G44)</f>
        <v>8.6376406440709097E-3</v>
      </c>
      <c r="H45">
        <f>LOG('Stock Data'!H45)-LOG('Stock Data'!H44)</f>
        <v>3.2169829348931867E-2</v>
      </c>
      <c r="I45">
        <f>LOG('Stock Data'!I45)-LOG('Stock Data'!I44)</f>
        <v>1.2435100671864152E-2</v>
      </c>
      <c r="J45">
        <f>LOG('Stock Data'!J45)-LOG('Stock Data'!J44)</f>
        <v>2.8562523242945836E-2</v>
      </c>
      <c r="K45">
        <f>LOG('Stock Data'!K45)-LOG('Stock Data'!K44)</f>
        <v>3.8485949612957482E-2</v>
      </c>
      <c r="L45">
        <f>LOG('Stock Data'!L45)-LOG('Stock Data'!L44)</f>
        <v>4.873416174144829E-5</v>
      </c>
      <c r="M45">
        <f>LOG('Stock Data'!M45)-LOG('Stock Data'!M44)</f>
        <v>-7.4404300844201909E-3</v>
      </c>
      <c r="N45">
        <f>LOG('Stock Data'!N45)-LOG('Stock Data'!N44)</f>
        <v>-2.3764463231532584E-3</v>
      </c>
      <c r="O45">
        <f>LOG('Stock Data'!O45)-LOG('Stock Data'!O44)</f>
        <v>4.5091162331639012E-2</v>
      </c>
      <c r="P45">
        <f>LOG('Stock Data'!P45)-LOG('Stock Data'!P44)</f>
        <v>-2.1872739782264894E-3</v>
      </c>
      <c r="Q45">
        <f>LOG('Stock Data'!Q45)-LOG('Stock Data'!Q44)</f>
        <v>1.2347665904975269E-2</v>
      </c>
      <c r="R45" s="3">
        <f>'Stock Data'!R45/(100*12)</f>
        <v>3.4749999999999998E-3</v>
      </c>
    </row>
    <row r="46" spans="1:18" x14ac:dyDescent="0.3">
      <c r="A46" s="1">
        <f>'Stock Data'!A46</f>
        <v>44935</v>
      </c>
      <c r="B46">
        <f>LOG('Stock Data'!B46)-LOG('Stock Data'!B45)</f>
        <v>-1.5201239413566103E-2</v>
      </c>
      <c r="C46">
        <f>LOG('Stock Data'!C46)-LOG('Stock Data'!C45)</f>
        <v>-5.0565090034293547E-3</v>
      </c>
      <c r="D46">
        <f>LOG('Stock Data'!D46)-LOG('Stock Data'!D45)</f>
        <v>1.8805768511507726E-2</v>
      </c>
      <c r="E46">
        <f>LOG('Stock Data'!E46)-LOG('Stock Data'!E45)</f>
        <v>2.1668215835694671E-2</v>
      </c>
      <c r="F46">
        <f>LOG('Stock Data'!F46)-LOG('Stock Data'!F45)</f>
        <v>-1.3117673638784133E-2</v>
      </c>
      <c r="G46">
        <f>LOG('Stock Data'!G46)-LOG('Stock Data'!G45)</f>
        <v>7.8297009138581508E-3</v>
      </c>
      <c r="H46">
        <f>LOG('Stock Data'!H46)-LOG('Stock Data'!H45)</f>
        <v>-3.2467006370178186E-2</v>
      </c>
      <c r="I46">
        <f>LOG('Stock Data'!I46)-LOG('Stock Data'!I45)</f>
        <v>-2.7389793614469582E-3</v>
      </c>
      <c r="J46">
        <f>LOG('Stock Data'!J46)-LOG('Stock Data'!J45)</f>
        <v>-3.6388312300861259E-4</v>
      </c>
      <c r="K46">
        <f>LOG('Stock Data'!K46)-LOG('Stock Data'!K45)</f>
        <v>2.9801166218545561E-2</v>
      </c>
      <c r="L46">
        <f>LOG('Stock Data'!L46)-LOG('Stock Data'!L45)</f>
        <v>-3.5579125699867653E-2</v>
      </c>
      <c r="M46">
        <f>LOG('Stock Data'!M46)-LOG('Stock Data'!M45)</f>
        <v>-2.9147390072172819E-3</v>
      </c>
      <c r="N46">
        <f>LOG('Stock Data'!N46)-LOG('Stock Data'!N45)</f>
        <v>2.9776791149571658E-4</v>
      </c>
      <c r="O46">
        <f>LOG('Stock Data'!O46)-LOG('Stock Data'!O45)</f>
        <v>-4.4184177354786414E-2</v>
      </c>
      <c r="P46">
        <f>LOG('Stock Data'!P46)-LOG('Stock Data'!P45)</f>
        <v>2.081206801259583E-2</v>
      </c>
      <c r="Q46">
        <f>LOG('Stock Data'!Q46)-LOG('Stock Data'!Q45)</f>
        <v>-4.598798955420591E-3</v>
      </c>
      <c r="R46" s="3">
        <f>'Stock Data'!R46/(100*12)</f>
        <v>3.65E-3</v>
      </c>
    </row>
    <row r="47" spans="1:18" x14ac:dyDescent="0.3">
      <c r="A47" s="1">
        <f>'Stock Data'!A47</f>
        <v>44936</v>
      </c>
      <c r="B47">
        <f>LOG('Stock Data'!B47)-LOG('Stock Data'!B46)</f>
        <v>-4.4031803070239572E-2</v>
      </c>
      <c r="C47">
        <f>LOG('Stock Data'!C47)-LOG('Stock Data'!C46)</f>
        <v>-2.0162814356786907E-2</v>
      </c>
      <c r="D47">
        <f>LOG('Stock Data'!D47)-LOG('Stock Data'!D46)</f>
        <v>-3.9689494230374489E-2</v>
      </c>
      <c r="E47">
        <f>LOG('Stock Data'!E47)-LOG('Stock Data'!E46)</f>
        <v>-2.020940408127414E-2</v>
      </c>
      <c r="F47">
        <f>LOG('Stock Data'!F47)-LOG('Stock Data'!F46)</f>
        <v>-1.6450438348785124E-2</v>
      </c>
      <c r="G47">
        <f>LOG('Stock Data'!G47)-LOG('Stock Data'!G46)</f>
        <v>-9.1348693849853113E-3</v>
      </c>
      <c r="H47">
        <f>LOG('Stock Data'!H47)-LOG('Stock Data'!H46)</f>
        <v>-3.7619583997190453E-3</v>
      </c>
      <c r="I47">
        <f>LOG('Stock Data'!I47)-LOG('Stock Data'!I46)</f>
        <v>-2.9342845466776346E-2</v>
      </c>
      <c r="J47">
        <f>LOG('Stock Data'!J47)-LOG('Stock Data'!J46)</f>
        <v>-2.1897247157505184E-3</v>
      </c>
      <c r="K47">
        <f>LOG('Stock Data'!K47)-LOG('Stock Data'!K46)</f>
        <v>-5.3131686223236496E-2</v>
      </c>
      <c r="L47">
        <f>LOG('Stock Data'!L47)-LOG('Stock Data'!L46)</f>
        <v>-6.3401780310190503E-3</v>
      </c>
      <c r="M47">
        <f>LOG('Stock Data'!M47)-LOG('Stock Data'!M46)</f>
        <v>-3.4082276434808545E-2</v>
      </c>
      <c r="N47">
        <f>LOG('Stock Data'!N47)-LOG('Stock Data'!N46)</f>
        <v>-6.4259590647907094E-2</v>
      </c>
      <c r="O47">
        <f>LOG('Stock Data'!O47)-LOG('Stock Data'!O46)</f>
        <v>-2.3103743769215201E-2</v>
      </c>
      <c r="P47">
        <f>LOG('Stock Data'!P47)-LOG('Stock Data'!P46)</f>
        <v>2.0155879232162999E-2</v>
      </c>
      <c r="Q47">
        <f>LOG('Stock Data'!Q47)-LOG('Stock Data'!Q46)</f>
        <v>-2.4253546207613219E-2</v>
      </c>
      <c r="R47" s="3">
        <f>'Stock Data'!R47/(100*12)</f>
        <v>4.0000000000000001E-3</v>
      </c>
    </row>
    <row r="48" spans="1:18" x14ac:dyDescent="0.3">
      <c r="A48" s="1">
        <f>'Stock Data'!A48</f>
        <v>44937</v>
      </c>
      <c r="B48">
        <f>LOG('Stock Data'!B48)-LOG('Stock Data'!B47)</f>
        <v>-5.5838232237004348E-4</v>
      </c>
      <c r="C48">
        <f>LOG('Stock Data'!C48)-LOG('Stock Data'!C47)</f>
        <v>3.1138863334212008E-2</v>
      </c>
      <c r="D48">
        <f>LOG('Stock Data'!D48)-LOG('Stock Data'!D47)</f>
        <v>2.2214972229304131E-2</v>
      </c>
      <c r="E48">
        <f>LOG('Stock Data'!E48)-LOG('Stock Data'!E47)</f>
        <v>-2.4300153263864477E-2</v>
      </c>
      <c r="F48">
        <f>LOG('Stock Data'!F48)-LOG('Stock Data'!F47)</f>
        <v>-1.7767190672264732E-2</v>
      </c>
      <c r="G48">
        <f>LOG('Stock Data'!G48)-LOG('Stock Data'!G47)</f>
        <v>1.2719820803410498E-2</v>
      </c>
      <c r="H48">
        <f>LOG('Stock Data'!H48)-LOG('Stock Data'!H47)</f>
        <v>-1.706332683422529E-2</v>
      </c>
      <c r="I48">
        <f>LOG('Stock Data'!I48)-LOG('Stock Data'!I47)</f>
        <v>1.7347039238800654E-2</v>
      </c>
      <c r="J48">
        <f>LOG('Stock Data'!J48)-LOG('Stock Data'!J47)</f>
        <v>1.0720890782220938E-2</v>
      </c>
      <c r="K48">
        <f>LOG('Stock Data'!K48)-LOG('Stock Data'!K47)</f>
        <v>-3.2237798332869438E-2</v>
      </c>
      <c r="L48">
        <f>LOG('Stock Data'!L48)-LOG('Stock Data'!L47)</f>
        <v>3.261568225263467E-3</v>
      </c>
      <c r="M48">
        <f>LOG('Stock Data'!M48)-LOG('Stock Data'!M47)</f>
        <v>-3.2702069026376401E-2</v>
      </c>
      <c r="N48">
        <f>LOG('Stock Data'!N48)-LOG('Stock Data'!N47)</f>
        <v>4.0921791751796333E-2</v>
      </c>
      <c r="O48">
        <f>LOG('Stock Data'!O48)-LOG('Stock Data'!O47)</f>
        <v>-1.3423687128027106E-2</v>
      </c>
      <c r="P48">
        <f>LOG('Stock Data'!P48)-LOG('Stock Data'!P47)</f>
        <v>-4.2676809131027671E-2</v>
      </c>
      <c r="Q48">
        <f>LOG('Stock Data'!Q48)-LOG('Stock Data'!Q47)</f>
        <v>-8.5215815177948073E-3</v>
      </c>
      <c r="R48" s="3">
        <f>'Stock Data'!R48/(100*12)</f>
        <v>3.741666666666667E-3</v>
      </c>
    </row>
    <row r="49" spans="1:18" x14ac:dyDescent="0.3">
      <c r="A49" s="1">
        <f>'Stock Data'!A49</f>
        <v>44938</v>
      </c>
      <c r="B49">
        <f>LOG('Stock Data'!B49)-LOG('Stock Data'!B48)</f>
        <v>4.6511137209603426E-2</v>
      </c>
      <c r="C49">
        <f>LOG('Stock Data'!C49)-LOG('Stock Data'!C48)</f>
        <v>4.4854194765701294E-2</v>
      </c>
      <c r="D49">
        <f>LOG('Stock Data'!D49)-LOG('Stock Data'!D48)</f>
        <v>3.7377716916608072E-2</v>
      </c>
      <c r="E49">
        <f>LOG('Stock Data'!E49)-LOG('Stock Data'!E48)</f>
        <v>2.6446289179781424E-2</v>
      </c>
      <c r="F49">
        <f>LOG('Stock Data'!F49)-LOG('Stock Data'!F48)</f>
        <v>2.060809332820579E-2</v>
      </c>
      <c r="G49">
        <f>LOG('Stock Data'!G49)-LOG('Stock Data'!G48)</f>
        <v>-2.4058882056210873E-2</v>
      </c>
      <c r="H49">
        <f>LOG('Stock Data'!H49)-LOG('Stock Data'!H48)</f>
        <v>4.8827996167180032E-2</v>
      </c>
      <c r="I49">
        <f>LOG('Stock Data'!I49)-LOG('Stock Data'!I48)</f>
        <v>7.5715241436693503E-3</v>
      </c>
      <c r="J49">
        <f>LOG('Stock Data'!J49)-LOG('Stock Data'!J48)</f>
        <v>8.4698673020647819E-2</v>
      </c>
      <c r="K49">
        <f>LOG('Stock Data'!K49)-LOG('Stock Data'!K48)</f>
        <v>5.6222165406611069E-2</v>
      </c>
      <c r="L49">
        <f>LOG('Stock Data'!L49)-LOG('Stock Data'!L48)</f>
        <v>5.5949649235755183E-2</v>
      </c>
      <c r="M49">
        <f>LOG('Stock Data'!M49)-LOG('Stock Data'!M48)</f>
        <v>-2.320485469989042E-2</v>
      </c>
      <c r="N49">
        <f>LOG('Stock Data'!N49)-LOG('Stock Data'!N48)</f>
        <v>5.720598823888956E-2</v>
      </c>
      <c r="O49">
        <f>LOG('Stock Data'!O49)-LOG('Stock Data'!O48)</f>
        <v>6.0612132795150986E-2</v>
      </c>
      <c r="P49">
        <f>LOG('Stock Data'!P49)-LOG('Stock Data'!P48)</f>
        <v>-1.6748061629504818E-2</v>
      </c>
      <c r="Q49">
        <f>LOG('Stock Data'!Q49)-LOG('Stock Data'!Q48)</f>
        <v>3.5529959534728039E-2</v>
      </c>
      <c r="R49" s="3">
        <f>'Stock Data'!R49/(100*12)</f>
        <v>3.2333333333333333E-3</v>
      </c>
    </row>
    <row r="50" spans="1:18" x14ac:dyDescent="0.3">
      <c r="A50" s="1">
        <f>'Stock Data'!A50</f>
        <v>45292</v>
      </c>
      <c r="B50">
        <f>LOG('Stock Data'!B50)-LOG('Stock Data'!B49)</f>
        <v>-7.3174161513165359E-3</v>
      </c>
      <c r="C50">
        <f>LOG('Stock Data'!C50)-LOG('Stock Data'!C49)</f>
        <v>-3.3557865869719983E-3</v>
      </c>
      <c r="D50">
        <f>LOG('Stock Data'!D50)-LOG('Stock Data'!D49)</f>
        <v>1.6174427128972546E-2</v>
      </c>
      <c r="E50">
        <f>LOG('Stock Data'!E50)-LOG('Stock Data'!E49)</f>
        <v>2.1493458710566404E-2</v>
      </c>
      <c r="F50">
        <f>LOG('Stock Data'!F50)-LOG('Stock Data'!F49)</f>
        <v>1.3581674670053445E-3</v>
      </c>
      <c r="G50">
        <f>LOG('Stock Data'!G50)-LOG('Stock Data'!G49)</f>
        <v>5.2511055926875994E-3</v>
      </c>
      <c r="H50">
        <f>LOG('Stock Data'!H50)-LOG('Stock Data'!H49)</f>
        <v>3.549472412389898E-2</v>
      </c>
      <c r="I50">
        <f>LOG('Stock Data'!I50)-LOG('Stock Data'!I49)</f>
        <v>-2.0204734860329587E-2</v>
      </c>
      <c r="J50">
        <f>LOG('Stock Data'!J50)-LOG('Stock Data'!J49)</f>
        <v>4.4973565290237882E-2</v>
      </c>
      <c r="K50">
        <f>LOG('Stock Data'!K50)-LOG('Stock Data'!K49)</f>
        <v>2.4584991726011252E-2</v>
      </c>
      <c r="L50">
        <f>LOG('Stock Data'!L50)-LOG('Stock Data'!L49)</f>
        <v>-1.2542300580722587E-2</v>
      </c>
      <c r="M50">
        <f>LOG('Stock Data'!M50)-LOG('Stock Data'!M49)</f>
        <v>-1.3513063061603159E-3</v>
      </c>
      <c r="N50">
        <f>LOG('Stock Data'!N50)-LOG('Stock Data'!N49)</f>
        <v>9.0821896571824379E-3</v>
      </c>
      <c r="O50">
        <f>LOG('Stock Data'!O50)-LOG('Stock Data'!O49)</f>
        <v>4.0742835445617187E-2</v>
      </c>
      <c r="P50">
        <f>LOG('Stock Data'!P50)-LOG('Stock Data'!P49)</f>
        <v>-6.746623546236119E-3</v>
      </c>
      <c r="Q50">
        <f>LOG('Stock Data'!Q50)-LOG('Stock Data'!Q49)</f>
        <v>1.7343969268792225E-2</v>
      </c>
      <c r="R50" s="3">
        <f>'Stock Data'!R50/(100*12)</f>
        <v>3.2916666666666667E-3</v>
      </c>
    </row>
    <row r="51" spans="1:18" x14ac:dyDescent="0.3">
      <c r="A51" s="1">
        <f>'Stock Data'!A51</f>
        <v>45293</v>
      </c>
      <c r="B51">
        <f>LOG('Stock Data'!B51)-LOG('Stock Data'!B50)</f>
        <v>-7.3956120432852046E-3</v>
      </c>
      <c r="C51">
        <f>LOG('Stock Data'!C51)-LOG('Stock Data'!C50)</f>
        <v>3.1333355731736567E-2</v>
      </c>
      <c r="D51">
        <f>LOG('Stock Data'!D51)-LOG('Stock Data'!D50)</f>
        <v>1.2235252492275972E-2</v>
      </c>
      <c r="E51">
        <f>LOG('Stock Data'!E51)-LOG('Stock Data'!E50)</f>
        <v>1.1048668699039865E-2</v>
      </c>
      <c r="F51">
        <f>LOG('Stock Data'!F51)-LOG('Stock Data'!F50)</f>
        <v>3.3906815585176275E-3</v>
      </c>
      <c r="G51">
        <f>LOG('Stock Data'!G51)-LOG('Stock Data'!G50)</f>
        <v>2.2678026613095481E-2</v>
      </c>
      <c r="H51">
        <f>LOG('Stock Data'!H51)-LOG('Stock Data'!H50)</f>
        <v>1.1531853029816741E-2</v>
      </c>
      <c r="I51">
        <f>LOG('Stock Data'!I51)-LOG('Stock Data'!I50)</f>
        <v>2.9840557527491818E-2</v>
      </c>
      <c r="J51">
        <f>LOG('Stock Data'!J51)-LOG('Stock Data'!J50)</f>
        <v>-5.6984302716131863E-2</v>
      </c>
      <c r="K51">
        <f>LOG('Stock Data'!K51)-LOG('Stock Data'!K50)</f>
        <v>0.10077355591730153</v>
      </c>
      <c r="L51">
        <f>LOG('Stock Data'!L51)-LOG('Stock Data'!L50)</f>
        <v>2.9217068004825153E-2</v>
      </c>
      <c r="M51">
        <f>LOG('Stock Data'!M51)-LOG('Stock Data'!M50)</f>
        <v>-2.7627898023195652E-2</v>
      </c>
      <c r="N51">
        <f>LOG('Stock Data'!N51)-LOG('Stock Data'!N50)</f>
        <v>6.9456133279831356E-2</v>
      </c>
      <c r="O51">
        <f>LOG('Stock Data'!O51)-LOG('Stock Data'!O50)</f>
        <v>6.9674405907469428E-3</v>
      </c>
      <c r="P51">
        <f>LOG('Stock Data'!P51)-LOG('Stock Data'!P50)</f>
        <v>1.1256734401171364E-2</v>
      </c>
      <c r="Q51">
        <f>LOG('Stock Data'!Q51)-LOG('Stock Data'!Q50)</f>
        <v>1.0480926921904832E-2</v>
      </c>
      <c r="R51" s="3">
        <f>'Stock Data'!R51/(100*12)</f>
        <v>3.5083333333333334E-3</v>
      </c>
    </row>
    <row r="52" spans="1:18" x14ac:dyDescent="0.3">
      <c r="A52" s="1">
        <f>'Stock Data'!A52</f>
        <v>45294</v>
      </c>
      <c r="B52">
        <f>LOG('Stock Data'!B52)-LOG('Stock Data'!B51)</f>
        <v>-1.0608809945063413E-2</v>
      </c>
      <c r="C52">
        <f>LOG('Stock Data'!C52)-LOG('Stock Data'!C51)</f>
        <v>1.0084673778619546E-2</v>
      </c>
      <c r="D52">
        <f>LOG('Stock Data'!D52)-LOG('Stock Data'!D51)</f>
        <v>5.4596887063251387E-2</v>
      </c>
      <c r="E52">
        <f>LOG('Stock Data'!E52)-LOG('Stock Data'!E51)</f>
        <v>-1.1424979920709788E-2</v>
      </c>
      <c r="F52">
        <f>LOG('Stock Data'!F52)-LOG('Stock Data'!F51)</f>
        <v>9.9623778231814342E-3</v>
      </c>
      <c r="G52">
        <f>LOG('Stock Data'!G52)-LOG('Stock Data'!G51)</f>
        <v>2.7202282852461401E-2</v>
      </c>
      <c r="H52">
        <f>LOG('Stock Data'!H52)-LOG('Stock Data'!H51)</f>
        <v>2.9162126573118119E-2</v>
      </c>
      <c r="I52">
        <f>LOG('Stock Data'!I52)-LOG('Stock Data'!I51)</f>
        <v>3.5315418335368776E-3</v>
      </c>
      <c r="J52">
        <f>LOG('Stock Data'!J52)-LOG('Stock Data'!J51)</f>
        <v>2.608985787471374E-3</v>
      </c>
      <c r="K52">
        <f>LOG('Stock Data'!K52)-LOG('Stock Data'!K51)</f>
        <v>0.10999838681536334</v>
      </c>
      <c r="L52">
        <f>LOG('Stock Data'!L52)-LOG('Stock Data'!L51)</f>
        <v>6.3099244432018864E-2</v>
      </c>
      <c r="M52">
        <f>LOG('Stock Data'!M52)-LOG('Stock Data'!M51)</f>
        <v>-4.3486182024667919E-3</v>
      </c>
      <c r="N52">
        <f>LOG('Stock Data'!N52)-LOG('Stock Data'!N51)</f>
        <v>2.4423402530601601E-2</v>
      </c>
      <c r="O52">
        <f>LOG('Stock Data'!O52)-LOG('Stock Data'!O51)</f>
        <v>7.6127187043364408E-3</v>
      </c>
      <c r="P52">
        <f>LOG('Stock Data'!P52)-LOG('Stock Data'!P51)</f>
        <v>8.923178212964622E-3</v>
      </c>
      <c r="Q52">
        <f>LOG('Stock Data'!Q52)-LOG('Stock Data'!Q51)</f>
        <v>2.0707826794559292E-2</v>
      </c>
      <c r="R52" s="3">
        <f>'Stock Data'!R52/(100*12)</f>
        <v>3.5083333333333334E-3</v>
      </c>
    </row>
    <row r="53" spans="1:18" x14ac:dyDescent="0.3">
      <c r="A53" s="1">
        <f>'Stock Data'!A53</f>
        <v>45295</v>
      </c>
      <c r="B53">
        <f>LOG('Stock Data'!B53)-LOG('Stock Data'!B52)</f>
        <v>-2.0707017530199767E-2</v>
      </c>
      <c r="C53">
        <f>LOG('Stock Data'!C53)-LOG('Stock Data'!C52)</f>
        <v>1.3187608452119637E-2</v>
      </c>
      <c r="D53">
        <f>LOG('Stock Data'!D53)-LOG('Stock Data'!D52)</f>
        <v>9.8149822935988951E-3</v>
      </c>
      <c r="E53">
        <f>LOG('Stock Data'!E53)-LOG('Stock Data'!E52)</f>
        <v>3.6854213982631112E-2</v>
      </c>
      <c r="F53">
        <f>LOG('Stock Data'!F53)-LOG('Stock Data'!F52)</f>
        <v>-1.1172265727612096E-2</v>
      </c>
      <c r="G53">
        <f>LOG('Stock Data'!G53)-LOG('Stock Data'!G52)</f>
        <v>1.1012002394814369E-2</v>
      </c>
      <c r="H53">
        <f>LOG('Stock Data'!H53)-LOG('Stock Data'!H52)</f>
        <v>3.2196376657219528E-2</v>
      </c>
      <c r="I53">
        <f>LOG('Stock Data'!I53)-LOG('Stock Data'!I52)</f>
        <v>1.0130330904665641E-2</v>
      </c>
      <c r="J53">
        <f>LOG('Stock Data'!J53)-LOG('Stock Data'!J52)</f>
        <v>8.7158944460588028E-3</v>
      </c>
      <c r="K53">
        <f>LOG('Stock Data'!K53)-LOG('Stock Data'!K52)</f>
        <v>5.2597763321562185E-2</v>
      </c>
      <c r="L53">
        <f>LOG('Stock Data'!L53)-LOG('Stock Data'!L52)</f>
        <v>3.9532262204667212E-2</v>
      </c>
      <c r="M53">
        <f>LOG('Stock Data'!M53)-LOG('Stock Data'!M52)</f>
        <v>1.4798789110878285E-2</v>
      </c>
      <c r="N53">
        <f>LOG('Stock Data'!N53)-LOG('Stock Data'!N52)</f>
        <v>5.8971178492266407E-3</v>
      </c>
      <c r="O53">
        <f>LOG('Stock Data'!O53)-LOG('Stock Data'!O52)</f>
        <v>4.0900748203189563E-2</v>
      </c>
      <c r="P53">
        <f>LOG('Stock Data'!P53)-LOG('Stock Data'!P52)</f>
        <v>4.1833134774103442E-2</v>
      </c>
      <c r="Q53">
        <f>LOG('Stock Data'!Q53)-LOG('Stock Data'!Q52)</f>
        <v>1.3374828410134487E-2</v>
      </c>
      <c r="R53" s="3">
        <f>'Stock Data'!R53/(100*12)</f>
        <v>3.7833333333333334E-3</v>
      </c>
    </row>
    <row r="54" spans="1:18" x14ac:dyDescent="0.3">
      <c r="A54" s="1">
        <f>'Stock Data'!A54</f>
        <v>45296</v>
      </c>
      <c r="B54">
        <f>LOG('Stock Data'!B54)-LOG('Stock Data'!B53)</f>
        <v>-4.103761003048767E-3</v>
      </c>
      <c r="C54">
        <f>LOG('Stock Data'!C54)-LOG('Stock Data'!C53)</f>
        <v>-3.3353282468554291E-2</v>
      </c>
      <c r="D54">
        <f>LOG('Stock Data'!D54)-LOG('Stock Data'!D53)</f>
        <v>2.0131781802690263E-3</v>
      </c>
      <c r="E54">
        <f>LOG('Stock Data'!E54)-LOG('Stock Data'!E53)</f>
        <v>3.7553130555850078E-2</v>
      </c>
      <c r="F54">
        <f>LOG('Stock Data'!F54)-LOG('Stock Data'!F53)</f>
        <v>-2.5458991249720064E-2</v>
      </c>
      <c r="G54">
        <f>LOG('Stock Data'!G54)-LOG('Stock Data'!G53)</f>
        <v>-7.2614044376180242E-3</v>
      </c>
      <c r="H54">
        <f>LOG('Stock Data'!H54)-LOG('Stock Data'!H53)</f>
        <v>-1.7096754093270494E-2</v>
      </c>
      <c r="I54">
        <f>LOG('Stock Data'!I54)-LOG('Stock Data'!I53)</f>
        <v>4.0081606277500015E-3</v>
      </c>
      <c r="J54">
        <f>LOG('Stock Data'!J54)-LOG('Stock Data'!J53)</f>
        <v>-0.16673037010977021</v>
      </c>
      <c r="K54">
        <f>LOG('Stock Data'!K54)-LOG('Stock Data'!K53)</f>
        <v>-2.5860269082814469E-2</v>
      </c>
      <c r="L54">
        <f>LOG('Stock Data'!L54)-LOG('Stock Data'!L53)</f>
        <v>-4.0117223207982278E-2</v>
      </c>
      <c r="M54">
        <f>LOG('Stock Data'!M54)-LOG('Stock Data'!M53)</f>
        <v>-2.2968602676749272E-2</v>
      </c>
      <c r="N54">
        <f>LOG('Stock Data'!N54)-LOG('Stock Data'!N53)</f>
        <v>-4.5281551354792393E-2</v>
      </c>
      <c r="O54">
        <f>LOG('Stock Data'!O54)-LOG('Stock Data'!O53)</f>
        <v>-8.4376565311097274E-3</v>
      </c>
      <c r="P54">
        <f>LOG('Stock Data'!P54)-LOG('Stock Data'!P53)</f>
        <v>6.9210266203039161E-3</v>
      </c>
      <c r="Q54">
        <f>LOG('Stock Data'!Q54)-LOG('Stock Data'!Q53)</f>
        <v>-1.9333877502583974E-2</v>
      </c>
      <c r="R54" s="3">
        <f>'Stock Data'!R54/(100*12)</f>
        <v>3.7333333333333337E-3</v>
      </c>
    </row>
    <row r="55" spans="1:18" x14ac:dyDescent="0.3">
      <c r="A55" s="1">
        <f>'Stock Data'!A55</f>
        <v>45297</v>
      </c>
      <c r="B55">
        <f>LOG('Stock Data'!B55)-LOG('Stock Data'!B54)</f>
        <v>5.5957596715041191E-2</v>
      </c>
      <c r="C55">
        <f>LOG('Stock Data'!C55)-LOG('Stock Data'!C54)</f>
        <v>2.4630575152901013E-2</v>
      </c>
      <c r="D55">
        <f>LOG('Stock Data'!D55)-LOG('Stock Data'!D54)</f>
        <v>-9.5001551375033522E-3</v>
      </c>
      <c r="E55">
        <f>LOG('Stock Data'!E55)-LOG('Stock Data'!E54)</f>
        <v>2.1252230266799899E-2</v>
      </c>
      <c r="F55">
        <f>LOG('Stock Data'!F55)-LOG('Stock Data'!F54)</f>
        <v>-4.3724736923258511E-3</v>
      </c>
      <c r="G55">
        <f>LOG('Stock Data'!G55)-LOG('Stock Data'!G54)</f>
        <v>4.31796753986049E-2</v>
      </c>
      <c r="H55">
        <f>LOG('Stock Data'!H55)-LOG('Stock Data'!H54)</f>
        <v>2.2105823780389056E-2</v>
      </c>
      <c r="I55">
        <f>LOG('Stock Data'!I55)-LOG('Stock Data'!I54)</f>
        <v>1.7254471719039266E-3</v>
      </c>
      <c r="J55">
        <f>LOG('Stock Data'!J55)-LOG('Stock Data'!J54)</f>
        <v>1.2206465409177358E-2</v>
      </c>
      <c r="K55">
        <f>LOG('Stock Data'!K55)-LOG('Stock Data'!K54)</f>
        <v>0.12562730371054842</v>
      </c>
      <c r="L55">
        <f>LOG('Stock Data'!L55)-LOG('Stock Data'!L54)</f>
        <v>-2.8713478251093605E-2</v>
      </c>
      <c r="M55">
        <f>LOG('Stock Data'!M55)-LOG('Stock Data'!M54)</f>
        <v>3.6825326955257642E-2</v>
      </c>
      <c r="N55">
        <f>LOG('Stock Data'!N55)-LOG('Stock Data'!N54)</f>
        <v>7.1072330798981342E-2</v>
      </c>
      <c r="O55">
        <f>LOG('Stock Data'!O55)-LOG('Stock Data'!O54)</f>
        <v>3.1834398785747009E-2</v>
      </c>
      <c r="P55">
        <f>LOG('Stock Data'!P55)-LOG('Stock Data'!P54)</f>
        <v>-7.3316011256316926E-3</v>
      </c>
      <c r="Q55">
        <f>LOG('Stock Data'!Q55)-LOG('Stock Data'!Q54)</f>
        <v>2.255804472224554E-2</v>
      </c>
      <c r="R55" s="3">
        <f>'Stock Data'!R55/(100*12)</f>
        <v>3.5916666666666662E-3</v>
      </c>
    </row>
    <row r="56" spans="1:18" x14ac:dyDescent="0.3">
      <c r="A56" s="1">
        <f>'Stock Data'!A56</f>
        <v>45298</v>
      </c>
      <c r="B56">
        <f>LOG('Stock Data'!B56)-LOG('Stock Data'!B55)</f>
        <v>4.1187964459655557E-2</v>
      </c>
      <c r="C56">
        <f>LOG('Stock Data'!C56)-LOG('Stock Data'!C55)</f>
        <v>3.3325419722466609E-2</v>
      </c>
      <c r="D56">
        <f>LOG('Stock Data'!D56)-LOG('Stock Data'!D55)</f>
        <v>3.6971096810384907E-2</v>
      </c>
      <c r="E56">
        <f>LOG('Stock Data'!E56)-LOG('Stock Data'!E55)</f>
        <v>2.5632486010188416E-2</v>
      </c>
      <c r="F56">
        <f>LOG('Stock Data'!F56)-LOG('Stock Data'!F55)</f>
        <v>-3.4942741935828359E-3</v>
      </c>
      <c r="G56">
        <f>LOG('Stock Data'!G56)-LOG('Stock Data'!G55)</f>
        <v>1.5498209242451155E-2</v>
      </c>
      <c r="H56">
        <f>LOG('Stock Data'!H56)-LOG('Stock Data'!H55)</f>
        <v>1.1362517917170578E-3</v>
      </c>
      <c r="I56">
        <f>LOG('Stock Data'!I56)-LOG('Stock Data'!I55)</f>
        <v>4.3756672648860295E-3</v>
      </c>
      <c r="J56">
        <f>LOG('Stock Data'!J56)-LOG('Stock Data'!J55)</f>
        <v>-1.6827705208608545E-3</v>
      </c>
      <c r="K56">
        <f>LOG('Stock Data'!K56)-LOG('Stock Data'!K55)</f>
        <v>3.610666320373257E-2</v>
      </c>
      <c r="L56">
        <f>LOG('Stock Data'!L56)-LOG('Stock Data'!L55)</f>
        <v>-2.035627976418497E-2</v>
      </c>
      <c r="M56">
        <f>LOG('Stock Data'!M56)-LOG('Stock Data'!M55)</f>
        <v>-1.0894373838883586E-2</v>
      </c>
      <c r="N56">
        <f>LOG('Stock Data'!N56)-LOG('Stock Data'!N55)</f>
        <v>1.9545069424465211E-2</v>
      </c>
      <c r="O56">
        <f>LOG('Stock Data'!O56)-LOG('Stock Data'!O55)</f>
        <v>-1.4123410232578237E-3</v>
      </c>
      <c r="P56">
        <f>LOG('Stock Data'!P56)-LOG('Stock Data'!P55)</f>
        <v>-2.2088211427440108E-3</v>
      </c>
      <c r="Q56">
        <f>LOG('Stock Data'!Q56)-LOG('Stock Data'!Q55)</f>
        <v>1.4030794150072801E-2</v>
      </c>
      <c r="R56" s="3">
        <f>'Stock Data'!R56/(100*12)</f>
        <v>3.5250000000000004E-3</v>
      </c>
    </row>
    <row r="57" spans="1:18" x14ac:dyDescent="0.3">
      <c r="A57" s="1">
        <f>'Stock Data'!A57</f>
        <v>45299</v>
      </c>
      <c r="B57">
        <f>LOG('Stock Data'!B57)-LOG('Stock Data'!B56)</f>
        <v>2.4444595839558048E-2</v>
      </c>
      <c r="C57">
        <f>LOG('Stock Data'!C57)-LOG('Stock Data'!C56)</f>
        <v>-2.7851941671002134E-2</v>
      </c>
      <c r="D57">
        <f>LOG('Stock Data'!D57)-LOG('Stock Data'!D56)</f>
        <v>-9.5308533858240452E-3</v>
      </c>
      <c r="E57">
        <f>LOG('Stock Data'!E57)-LOG('Stock Data'!E56)</f>
        <v>-3.1435159127227497E-2</v>
      </c>
      <c r="F57">
        <f>LOG('Stock Data'!F57)-LOG('Stock Data'!F56)</f>
        <v>3.5413433264933847E-2</v>
      </c>
      <c r="G57">
        <f>LOG('Stock Data'!G57)-LOG('Stock Data'!G56)</f>
        <v>6.4764412402975591E-3</v>
      </c>
      <c r="H57">
        <f>LOG('Stock Data'!H57)-LOG('Stock Data'!H56)</f>
        <v>2.1633598478699056E-2</v>
      </c>
      <c r="I57">
        <f>LOG('Stock Data'!I57)-LOG('Stock Data'!I56)</f>
        <v>-1.2532048556118891E-2</v>
      </c>
      <c r="J57">
        <f>LOG('Stock Data'!J57)-LOG('Stock Data'!J56)</f>
        <v>-6.7970527051377516E-3</v>
      </c>
      <c r="K57">
        <f>LOG('Stock Data'!K57)-LOG('Stock Data'!K56)</f>
        <v>-2.1412711992666811E-2</v>
      </c>
      <c r="L57">
        <f>LOG('Stock Data'!L57)-LOG('Stock Data'!L56)</f>
        <v>-2.49058345208375E-2</v>
      </c>
      <c r="M57">
        <f>LOG('Stock Data'!M57)-LOG('Stock Data'!M56)</f>
        <v>4.1039399137032362E-2</v>
      </c>
      <c r="N57">
        <f>LOG('Stock Data'!N57)-LOG('Stock Data'!N56)</f>
        <v>-3.0450714190139783E-2</v>
      </c>
      <c r="O57">
        <f>LOG('Stock Data'!O57)-LOG('Stock Data'!O56)</f>
        <v>5.7294191349401835E-3</v>
      </c>
      <c r="P57">
        <f>LOG('Stock Data'!P57)-LOG('Stock Data'!P56)</f>
        <v>9.7973686793970671E-3</v>
      </c>
      <c r="Q57">
        <f>LOG('Stock Data'!Q57)-LOG('Stock Data'!Q56)</f>
        <v>5.2673386715405002E-3</v>
      </c>
      <c r="R57" s="3">
        <f>'Stock Data'!R57/(100*12)</f>
        <v>3.4250000000000001E-3</v>
      </c>
    </row>
    <row r="58" spans="1:18" x14ac:dyDescent="0.3">
      <c r="A58" s="1">
        <f>'Stock Data'!A58</f>
        <v>45300</v>
      </c>
      <c r="B58">
        <f>LOG('Stock Data'!B58)-LOG('Stock Data'!B57)</f>
        <v>8.0164376822513539E-3</v>
      </c>
      <c r="C58">
        <f>LOG('Stock Data'!C58)-LOG('Stock Data'!C57)</f>
        <v>-2.9826470110649872E-3</v>
      </c>
      <c r="D58">
        <f>LOG('Stock Data'!D58)-LOG('Stock Data'!D57)</f>
        <v>-2.7806994592228129E-2</v>
      </c>
      <c r="E58">
        <f>LOG('Stock Data'!E58)-LOG('Stock Data'!E57)</f>
        <v>-2.2323387923186111E-2</v>
      </c>
      <c r="F58">
        <f>LOG('Stock Data'!F58)-LOG('Stock Data'!F57)</f>
        <v>1.8140723774058287E-2</v>
      </c>
      <c r="G58">
        <f>LOG('Stock Data'!G58)-LOG('Stock Data'!G57)</f>
        <v>5.0065760263360515E-2</v>
      </c>
      <c r="H58">
        <f>LOG('Stock Data'!H58)-LOG('Stock Data'!H57)</f>
        <v>1.8152262344456105E-2</v>
      </c>
      <c r="I58">
        <f>LOG('Stock Data'!I58)-LOG('Stock Data'!I57)</f>
        <v>2.6570238135108948E-2</v>
      </c>
      <c r="J58">
        <f>LOG('Stock Data'!J58)-LOG('Stock Data'!J57)</f>
        <v>-0.15005625339620443</v>
      </c>
      <c r="K58">
        <f>LOG('Stock Data'!K58)-LOG('Stock Data'!K57)</f>
        <v>-5.6533093595776407E-3</v>
      </c>
      <c r="L58">
        <f>LOG('Stock Data'!L58)-LOG('Stock Data'!L57)</f>
        <v>-2.0124072552685224E-2</v>
      </c>
      <c r="M58">
        <f>LOG('Stock Data'!M58)-LOG('Stock Data'!M57)</f>
        <v>-3.0296585056065695E-2</v>
      </c>
      <c r="N58">
        <f>LOG('Stock Data'!N58)-LOG('Stock Data'!N57)</f>
        <v>4.6371363700696611E-2</v>
      </c>
      <c r="O58">
        <f>LOG('Stock Data'!O58)-LOG('Stock Data'!O57)</f>
        <v>1.5008957783637644E-3</v>
      </c>
      <c r="P58">
        <f>LOG('Stock Data'!P58)-LOG('Stock Data'!P57)</f>
        <v>-9.3097134120299074E-3</v>
      </c>
      <c r="Q58">
        <f>LOG('Stock Data'!Q58)-LOG('Stock Data'!Q57)</f>
        <v>6.696413651060773E-3</v>
      </c>
      <c r="R58" s="3">
        <f>'Stock Data'!R58/(100*12)</f>
        <v>3.3583333333333334E-3</v>
      </c>
    </row>
    <row r="59" spans="1:18" x14ac:dyDescent="0.3">
      <c r="A59" s="1">
        <f>'Stock Data'!A59</f>
        <v>45301</v>
      </c>
      <c r="B59">
        <f>LOG('Stock Data'!B59)-LOG('Stock Data'!B58)</f>
        <v>1.8393096125923769E-3</v>
      </c>
      <c r="C59">
        <f>LOG('Stock Data'!C59)-LOG('Stock Data'!C58)</f>
        <v>1.0817383841181361E-2</v>
      </c>
      <c r="D59">
        <f>LOG('Stock Data'!D59)-LOG('Stock Data'!D58)</f>
        <v>1.7616234521538932E-2</v>
      </c>
      <c r="E59">
        <f>LOG('Stock Data'!E59)-LOG('Stock Data'!E58)</f>
        <v>1.5717532641996268E-2</v>
      </c>
      <c r="F59">
        <f>LOG('Stock Data'!F59)-LOG('Stock Data'!F58)</f>
        <v>-7.4489419954324454E-3</v>
      </c>
      <c r="G59">
        <f>LOG('Stock Data'!G59)-LOG('Stock Data'!G58)</f>
        <v>1.8417879362678802E-2</v>
      </c>
      <c r="H59">
        <f>LOG('Stock Data'!H59)-LOG('Stock Data'!H58)</f>
        <v>-2.7001022718681877E-2</v>
      </c>
      <c r="I59">
        <f>LOG('Stock Data'!I59)-LOG('Stock Data'!I58)</f>
        <v>5.5758793340103807E-3</v>
      </c>
      <c r="J59">
        <f>LOG('Stock Data'!J59)-LOG('Stock Data'!J58)</f>
        <v>3.7082308817547593E-2</v>
      </c>
      <c r="K59">
        <f>LOG('Stock Data'!K59)-LOG('Stock Data'!K58)</f>
        <v>2.100921263376998E-2</v>
      </c>
      <c r="L59">
        <f>LOG('Stock Data'!L59)-LOG('Stock Data'!L58)</f>
        <v>2.6234849496284074E-2</v>
      </c>
      <c r="M59">
        <f>LOG('Stock Data'!M59)-LOG('Stock Data'!M58)</f>
        <v>6.0215104229408567E-3</v>
      </c>
      <c r="N59">
        <f>LOG('Stock Data'!N59)-LOG('Stock Data'!N58)</f>
        <v>8.2947637161208121E-3</v>
      </c>
      <c r="O59">
        <f>LOG('Stock Data'!O59)-LOG('Stock Data'!O58)</f>
        <v>-1.1605013015880905E-2</v>
      </c>
      <c r="P59">
        <f>LOG('Stock Data'!P59)-LOG('Stock Data'!P58)</f>
        <v>7.4917127755469437E-4</v>
      </c>
      <c r="Q59">
        <f>LOG('Stock Data'!Q59)-LOG('Stock Data'!Q58)</f>
        <v>1.0214477890981843E-2</v>
      </c>
      <c r="R59" s="3">
        <f>'Stock Data'!R59/(100*12)</f>
        <v>3.5000000000000001E-3</v>
      </c>
    </row>
    <row r="60" spans="1:18" x14ac:dyDescent="0.3">
      <c r="A60" s="1">
        <f>'Stock Data'!A60</f>
        <v>45302</v>
      </c>
      <c r="B60">
        <f>LOG('Stock Data'!B60)-LOG('Stock Data'!B59)</f>
        <v>-1.6506874003385796E-2</v>
      </c>
      <c r="C60">
        <f>LOG('Stock Data'!C60)-LOG('Stock Data'!C59)</f>
        <v>-2.0166220842284144E-2</v>
      </c>
      <c r="D60">
        <f>LOG('Stock Data'!D60)-LOG('Stock Data'!D59)</f>
        <v>3.1916165250533535E-2</v>
      </c>
      <c r="E60">
        <f>LOG('Stock Data'!E60)-LOG('Stock Data'!E59)</f>
        <v>6.1464464069995728E-3</v>
      </c>
      <c r="F60">
        <f>LOG('Stock Data'!F60)-LOG('Stock Data'!F59)</f>
        <v>-4.9747907296104898E-3</v>
      </c>
      <c r="G60">
        <f>LOG('Stock Data'!G60)-LOG('Stock Data'!G59)</f>
        <v>9.8459555686181144E-3</v>
      </c>
      <c r="H60">
        <f>LOG('Stock Data'!H60)-LOG('Stock Data'!H59)</f>
        <v>2.9455660963558561E-2</v>
      </c>
      <c r="I60">
        <f>LOG('Stock Data'!I60)-LOG('Stock Data'!I59)</f>
        <v>-2.0349049172631695E-2</v>
      </c>
      <c r="J60">
        <f>LOG('Stock Data'!J60)-LOG('Stock Data'!J59)</f>
        <v>-8.6001717619175189E-3</v>
      </c>
      <c r="K60">
        <f>LOG('Stock Data'!K60)-LOG('Stock Data'!K59)</f>
        <v>4.3862956296487621E-2</v>
      </c>
      <c r="L60">
        <f>LOG('Stock Data'!L60)-LOG('Stock Data'!L59)</f>
        <v>2.3206109567688316E-3</v>
      </c>
      <c r="M60">
        <f>LOG('Stock Data'!M60)-LOG('Stock Data'!M59)</f>
        <v>-8.6061517615307892E-3</v>
      </c>
      <c r="N60">
        <f>LOG('Stock Data'!N60)-LOG('Stock Data'!N59)</f>
        <v>2.3628415282583859E-2</v>
      </c>
      <c r="O60">
        <f>LOG('Stock Data'!O60)-LOG('Stock Data'!O59)</f>
        <v>2.8090549279314869E-2</v>
      </c>
      <c r="P60">
        <f>LOG('Stock Data'!P60)-LOG('Stock Data'!P59)</f>
        <v>1.4320113550093438E-2</v>
      </c>
      <c r="Q60">
        <f>LOG('Stock Data'!Q60)-LOG('Stock Data'!Q59)</f>
        <v>-2.6108549743222298E-3</v>
      </c>
      <c r="R60" s="3">
        <f>'Stock Data'!R60/(100*12)</f>
        <v>3.7000000000000002E-3</v>
      </c>
    </row>
    <row r="61" spans="1:18" x14ac:dyDescent="0.3">
      <c r="A61" s="1">
        <f>'Stock Data'!A61</f>
        <v>45303</v>
      </c>
      <c r="B61">
        <f>LOG('Stock Data'!B61)-LOG('Stock Data'!B60)</f>
        <v>3.0929169026213899E-2</v>
      </c>
      <c r="C61">
        <f>LOG('Stock Data'!C61)-LOG('Stock Data'!C60)</f>
        <v>1.3135771472876812E-2</v>
      </c>
      <c r="D61">
        <f>LOG('Stock Data'!D61)-LOG('Stock Data'!D60)</f>
        <v>2.328348768639632E-2</v>
      </c>
      <c r="E61">
        <f>LOG('Stock Data'!E61)-LOG('Stock Data'!E60)</f>
        <v>-3.3581950007888217E-3</v>
      </c>
      <c r="F61">
        <f>LOG('Stock Data'!F61)-LOG('Stock Data'!F60)</f>
        <v>-1.606079588735021E-2</v>
      </c>
      <c r="G61">
        <f>LOG('Stock Data'!G61)-LOG('Stock Data'!G60)</f>
        <v>5.1029718973665261E-2</v>
      </c>
      <c r="H61">
        <f>LOG('Stock Data'!H61)-LOG('Stock Data'!H60)</f>
        <v>4.7763473258274125E-2</v>
      </c>
      <c r="I61">
        <f>LOG('Stock Data'!I61)-LOG('Stock Data'!I60)</f>
        <v>3.4844954685800733E-2</v>
      </c>
      <c r="J61">
        <f>LOG('Stock Data'!J61)-LOG('Stock Data'!J60)</f>
        <v>3.3423755486949647E-2</v>
      </c>
      <c r="K61">
        <f>LOG('Stock Data'!K61)-LOG('Stock Data'!K60)</f>
        <v>1.3115727936518606E-2</v>
      </c>
      <c r="L61">
        <f>LOG('Stock Data'!L61)-LOG('Stock Data'!L60)</f>
        <v>9.0159612206806461E-2</v>
      </c>
      <c r="M61">
        <f>LOG('Stock Data'!M61)-LOG('Stock Data'!M60)</f>
        <v>-3.8398953796489943E-2</v>
      </c>
      <c r="N61">
        <f>LOG('Stock Data'!N61)-LOG('Stock Data'!N60)</f>
        <v>7.1085105076481137E-2</v>
      </c>
      <c r="O61">
        <f>LOG('Stock Data'!O61)-LOG('Stock Data'!O60)</f>
        <v>5.4084835709974577E-2</v>
      </c>
      <c r="P61">
        <f>LOG('Stock Data'!P61)-LOG('Stock Data'!P60)</f>
        <v>-6.861842265974083E-3</v>
      </c>
      <c r="Q61">
        <f>LOG('Stock Data'!Q61)-LOG('Stock Data'!Q60)</f>
        <v>2.3404407420327011E-2</v>
      </c>
      <c r="R61" s="3">
        <f>'Stock Data'!R61/(100*12)</f>
        <v>3.5416666666666665E-3</v>
      </c>
    </row>
    <row r="62" spans="1:18" x14ac:dyDescent="0.3">
      <c r="A62" s="1">
        <f>'Stock Data'!A62</f>
        <v>45658</v>
      </c>
      <c r="B62">
        <f>LOG('Stock Data'!B62)-LOG('Stock Data'!B61)</f>
        <v>2.0834408852183461E-2</v>
      </c>
      <c r="C62">
        <f>LOG('Stock Data'!C62)-LOG('Stock Data'!C61)</f>
        <v>4.0604856012969037E-3</v>
      </c>
      <c r="D62">
        <f>LOG('Stock Data'!D62)-LOG('Stock Data'!D61)</f>
        <v>2.4275094832957755E-2</v>
      </c>
      <c r="E62">
        <f>LOG('Stock Data'!E62)-LOG('Stock Data'!E61)</f>
        <v>5.2967292899845919E-2</v>
      </c>
      <c r="F62">
        <f>LOG('Stock Data'!F62)-LOG('Stock Data'!F61)</f>
        <v>-2.7574320331603452E-2</v>
      </c>
      <c r="G62">
        <f>LOG('Stock Data'!G62)-LOG('Stock Data'!G61)</f>
        <v>-1.3495575253463121E-2</v>
      </c>
      <c r="H62">
        <f>LOG('Stock Data'!H62)-LOG('Stock Data'!H61)</f>
        <v>-1.5284719703598348E-2</v>
      </c>
      <c r="I62">
        <f>LOG('Stock Data'!I62)-LOG('Stock Data'!I61)</f>
        <v>-2.7602203383743085E-2</v>
      </c>
      <c r="J62">
        <f>LOG('Stock Data'!J62)-LOG('Stock Data'!J61)</f>
        <v>-8.9155708733737793E-2</v>
      </c>
      <c r="K62">
        <f>LOG('Stock Data'!K62)-LOG('Stock Data'!K61)</f>
        <v>-8.944415289286578E-3</v>
      </c>
      <c r="L62">
        <f>LOG('Stock Data'!L62)-LOG('Stock Data'!L61)</f>
        <v>-2.3018376868041202E-2</v>
      </c>
      <c r="M62">
        <f>LOG('Stock Data'!M62)-LOG('Stock Data'!M61)</f>
        <v>1.1182755188918314E-2</v>
      </c>
      <c r="N62">
        <f>LOG('Stock Data'!N62)-LOG('Stock Data'!N61)</f>
        <v>3.8972284579186223E-3</v>
      </c>
      <c r="O62">
        <f>LOG('Stock Data'!O62)-LOG('Stock Data'!O61)</f>
        <v>-3.4050085845099387E-2</v>
      </c>
      <c r="P62">
        <f>LOG('Stock Data'!P62)-LOG('Stock Data'!P61)</f>
        <v>-3.7517744316276858E-2</v>
      </c>
      <c r="Q62">
        <f>LOG('Stock Data'!Q62)-LOG('Stock Data'!Q61)</f>
        <v>-9.9529364113069008E-3</v>
      </c>
      <c r="R62" s="3">
        <f>'Stock Data'!R62/(100*12)</f>
        <v>3.4416666666666667E-3</v>
      </c>
    </row>
    <row r="63" spans="1:18" x14ac:dyDescent="0.3">
      <c r="A63" s="1">
        <f>'Stock Data'!A63</f>
        <v>45659</v>
      </c>
      <c r="B63">
        <f>LOG('Stock Data'!B63)-LOG('Stock Data'!B62)</f>
        <v>-3.4368285874637028E-2</v>
      </c>
      <c r="C63">
        <f>LOG('Stock Data'!C63)-LOG('Stock Data'!C62)</f>
        <v>-1.4454817308302559E-2</v>
      </c>
      <c r="D63">
        <f>LOG('Stock Data'!D63)-LOG('Stock Data'!D62)</f>
        <v>2.2915541766374226E-2</v>
      </c>
      <c r="E63">
        <f>LOG('Stock Data'!E63)-LOG('Stock Data'!E62)</f>
        <v>2.2288923351051704E-2</v>
      </c>
      <c r="F63">
        <f>LOG('Stock Data'!F63)-LOG('Stock Data'!F62)</f>
        <v>1.9787250584220484E-2</v>
      </c>
      <c r="G63">
        <f>LOG('Stock Data'!G63)-LOG('Stock Data'!G62)</f>
        <v>3.1594752220526434E-2</v>
      </c>
      <c r="H63">
        <f>LOG('Stock Data'!H63)-LOG('Stock Data'!H62)</f>
        <v>3.6146551230398227E-2</v>
      </c>
      <c r="I63">
        <f>LOG('Stock Data'!I63)-LOG('Stock Data'!I62)</f>
        <v>-6.8226102867376959E-3</v>
      </c>
      <c r="J63">
        <f>LOG('Stock Data'!J63)-LOG('Stock Data'!J62)</f>
        <v>-2.7928551882142161E-2</v>
      </c>
      <c r="K63">
        <f>LOG('Stock Data'!K63)-LOG('Stock Data'!K62)</f>
        <v>-7.3786214160918462E-2</v>
      </c>
      <c r="L63">
        <f>LOG('Stock Data'!L63)-LOG('Stock Data'!L62)</f>
        <v>-1.3629517455520102E-3</v>
      </c>
      <c r="M63">
        <f>LOG('Stock Data'!M63)-LOG('Stock Data'!M62)</f>
        <v>-7.3680378674894076E-3</v>
      </c>
      <c r="N63">
        <f>LOG('Stock Data'!N63)-LOG('Stock Data'!N62)</f>
        <v>3.6047250083301563E-2</v>
      </c>
      <c r="O63">
        <f>LOG('Stock Data'!O63)-LOG('Stock Data'!O62)</f>
        <v>1.2414801058080016E-2</v>
      </c>
      <c r="P63">
        <f>LOG('Stock Data'!P63)-LOG('Stock Data'!P62)</f>
        <v>-6.6281106926662225E-3</v>
      </c>
      <c r="Q63">
        <f>LOG('Stock Data'!Q63)-LOG('Stock Data'!Q62)</f>
        <v>4.8569577580659384E-3</v>
      </c>
      <c r="R63" s="3">
        <f>'Stock Data'!R63/(100*12)</f>
        <v>3.5583333333333331E-3</v>
      </c>
    </row>
    <row r="64" spans="1:18" x14ac:dyDescent="0.3">
      <c r="A64" s="1">
        <f>'Stock Data'!A64</f>
        <v>45660</v>
      </c>
      <c r="B64">
        <f>LOG('Stock Data'!B64)-LOG('Stock Data'!B63)</f>
        <v>2.1729382018339294E-2</v>
      </c>
      <c r="C64">
        <f>LOG('Stock Data'!C64)-LOG('Stock Data'!C63)</f>
        <v>-1.3698436932611191E-2</v>
      </c>
      <c r="D64">
        <f>LOG('Stock Data'!D64)-LOG('Stock Data'!D63)</f>
        <v>-4.0234553500104298E-2</v>
      </c>
      <c r="E64">
        <f>LOG('Stock Data'!E64)-LOG('Stock Data'!E63)</f>
        <v>-6.717406978332896E-2</v>
      </c>
      <c r="F64">
        <f>LOG('Stock Data'!F64)-LOG('Stock Data'!F63)</f>
        <v>3.5535059994668661E-2</v>
      </c>
      <c r="G64">
        <f>LOG('Stock Data'!G64)-LOG('Stock Data'!G63)</f>
        <v>5.3966940702372401E-3</v>
      </c>
      <c r="H64">
        <f>LOG('Stock Data'!H64)-LOG('Stock Data'!H63)</f>
        <v>3.584521140890029E-3</v>
      </c>
      <c r="I64">
        <f>LOG('Stock Data'!I64)-LOG('Stock Data'!I63)</f>
        <v>2.0780417131133433E-2</v>
      </c>
      <c r="J64">
        <f>LOG('Stock Data'!J64)-LOG('Stock Data'!J63)</f>
        <v>0.11987267778337518</v>
      </c>
      <c r="K64">
        <f>LOG('Stock Data'!K64)-LOG('Stock Data'!K63)</f>
        <v>3.194942750784957E-2</v>
      </c>
      <c r="L64">
        <f>LOG('Stock Data'!L64)-LOG('Stock Data'!L63)</f>
        <v>1.0481220177209316E-2</v>
      </c>
      <c r="M64">
        <f>LOG('Stock Data'!M64)-LOG('Stock Data'!M63)</f>
        <v>1.1543813036765105E-3</v>
      </c>
      <c r="N64">
        <f>LOG('Stock Data'!N64)-LOG('Stock Data'!N63)</f>
        <v>4.4406775637837459E-3</v>
      </c>
      <c r="O64">
        <f>LOG('Stock Data'!O64)-LOG('Stock Data'!O63)</f>
        <v>7.4888386349887259E-3</v>
      </c>
      <c r="P64">
        <f>LOG('Stock Data'!P64)-LOG('Stock Data'!P63)</f>
        <v>2.0133036709806262E-2</v>
      </c>
      <c r="Q64">
        <f>LOG('Stock Data'!Q64)-LOG('Stock Data'!Q63)</f>
        <v>-9.6041159132198572E-5</v>
      </c>
      <c r="R64" s="3">
        <f>'Stock Data'!R64/(100*12)</f>
        <v>3.5083333333333334E-3</v>
      </c>
    </row>
    <row r="65" spans="1:18" x14ac:dyDescent="0.3">
      <c r="A65" s="1">
        <f>'Stock Data'!A65</f>
        <v>45661</v>
      </c>
      <c r="B65">
        <f>LOG('Stock Data'!B65)-LOG('Stock Data'!B64)</f>
        <v>-4.1410647169183967E-2</v>
      </c>
      <c r="C65">
        <f>LOG('Stock Data'!C65)-LOG('Stock Data'!C64)</f>
        <v>-2.7151192223664466E-2</v>
      </c>
      <c r="D65">
        <f>LOG('Stock Data'!D65)-LOG('Stock Data'!D64)</f>
        <v>-5.5258329194771694E-2</v>
      </c>
      <c r="E65">
        <f>LOG('Stock Data'!E65)-LOG('Stock Data'!E64)</f>
        <v>-4.8903902402495092E-2</v>
      </c>
      <c r="F65">
        <f>LOG('Stock Data'!F65)-LOG('Stock Data'!F64)</f>
        <v>-1.1281703232874918E-2</v>
      </c>
      <c r="G65">
        <f>LOG('Stock Data'!G65)-LOG('Stock Data'!G64)</f>
        <v>-4.8930892843216389E-2</v>
      </c>
      <c r="H65">
        <f>LOG('Stock Data'!H65)-LOG('Stock Data'!H64)</f>
        <v>-3.6677328477676241E-2</v>
      </c>
      <c r="I65">
        <f>LOG('Stock Data'!I65)-LOG('Stock Data'!I64)</f>
        <v>-7.5970345749833967E-3</v>
      </c>
      <c r="J65">
        <f>LOG('Stock Data'!J65)-LOG('Stock Data'!J64)</f>
        <v>-4.4600913360733019E-2</v>
      </c>
      <c r="K65">
        <f>LOG('Stock Data'!K65)-LOG('Stock Data'!K64)</f>
        <v>-5.6232358235866364E-2</v>
      </c>
      <c r="L65">
        <f>LOG('Stock Data'!L65)-LOG('Stock Data'!L64)</f>
        <v>-6.4529571668868524E-2</v>
      </c>
      <c r="M65">
        <f>LOG('Stock Data'!M65)-LOG('Stock Data'!M64)</f>
        <v>-1.8161300449029527E-2</v>
      </c>
      <c r="N65">
        <f>LOG('Stock Data'!N65)-LOG('Stock Data'!N64)</f>
        <v>-2.523959954505206E-2</v>
      </c>
      <c r="O65">
        <f>LOG('Stock Data'!O65)-LOG('Stock Data'!O64)</f>
        <v>-4.8575655671122098E-2</v>
      </c>
      <c r="P65">
        <f>LOG('Stock Data'!P65)-LOG('Stock Data'!P64)</f>
        <v>2.8295944377850102E-2</v>
      </c>
      <c r="Q65">
        <f>LOG('Stock Data'!Q65)-LOG('Stock Data'!Q64)</f>
        <v>-2.785639821180208E-2</v>
      </c>
      <c r="R65" s="3">
        <f>'Stock Data'!R65/(100*12)</f>
        <v>3.6166666666666665E-3</v>
      </c>
    </row>
    <row r="66" spans="1:18" x14ac:dyDescent="0.3">
      <c r="A66" s="1">
        <f>'Stock Data'!A66</f>
        <v>45662</v>
      </c>
      <c r="B66">
        <f>LOG('Stock Data'!B66)-LOG('Stock Data'!B65)</f>
        <v>-2.1715196661758807E-2</v>
      </c>
      <c r="C66">
        <f>LOG('Stock Data'!C66)-LOG('Stock Data'!C65)</f>
        <v>6.0962359903645069E-2</v>
      </c>
      <c r="D66">
        <f>LOG('Stock Data'!D66)-LOG('Stock Data'!D65)</f>
        <v>6.3569298715830946E-3</v>
      </c>
      <c r="E66">
        <f>LOG('Stock Data'!E66)-LOG('Stock Data'!E65)</f>
        <v>1.8891960656605811E-2</v>
      </c>
      <c r="F66">
        <f>LOG('Stock Data'!F66)-LOG('Stock Data'!F65)</f>
        <v>-1.5765246536274979E-2</v>
      </c>
      <c r="G66">
        <f>LOG('Stock Data'!G66)-LOG('Stock Data'!G65)</f>
        <v>4.4609962308441053E-2</v>
      </c>
      <c r="H66">
        <f>LOG('Stock Data'!H66)-LOG('Stock Data'!H65)</f>
        <v>3.9362580875623721E-4</v>
      </c>
      <c r="I66">
        <f>LOG('Stock Data'!I66)-LOG('Stock Data'!I65)</f>
        <v>-2.6021919569106267E-2</v>
      </c>
      <c r="J66">
        <f>LOG('Stock Data'!J66)-LOG('Stock Data'!J65)</f>
        <v>-4.7557944056322521E-2</v>
      </c>
      <c r="K66">
        <f>LOG('Stock Data'!K66)-LOG('Stock Data'!K65)</f>
        <v>1.791603633619987E-2</v>
      </c>
      <c r="L66">
        <f>LOG('Stock Data'!L66)-LOG('Stock Data'!L65)</f>
        <v>-3.2361405441755586E-2</v>
      </c>
      <c r="M66">
        <f>LOG('Stock Data'!M66)-LOG('Stock Data'!M65)</f>
        <v>-1.7342555746092669E-2</v>
      </c>
      <c r="N66">
        <f>LOG('Stock Data'!N66)-LOG('Stock Data'!N65)</f>
        <v>8.2872431388277157E-2</v>
      </c>
      <c r="O66">
        <f>LOG('Stock Data'!O66)-LOG('Stock Data'!O65)</f>
        <v>-1.6059057156192269E-2</v>
      </c>
      <c r="P66">
        <f>LOG('Stock Data'!P66)-LOG('Stock Data'!P65)</f>
        <v>-5.474640146521681E-2</v>
      </c>
      <c r="Q66">
        <f>LOG('Stock Data'!Q66)-LOG('Stock Data'!Q65)</f>
        <v>2.1369058944675778E-3</v>
      </c>
      <c r="R66" s="3">
        <f>'Stock Data'!R66/(100*12)</f>
        <v>3.7333333333333337E-3</v>
      </c>
    </row>
    <row r="67" spans="1:18" x14ac:dyDescent="0.3">
      <c r="A67" s="1">
        <f>'Stock Data'!A67</f>
        <v>45663</v>
      </c>
      <c r="B67">
        <f>LOG('Stock Data'!B67)-LOG('Stock Data'!B66)</f>
        <v>-1.8674908698841364E-2</v>
      </c>
      <c r="C67">
        <f>LOG('Stock Data'!C67)-LOG('Stock Data'!C66)</f>
        <v>2.5461127118890037E-2</v>
      </c>
      <c r="D67">
        <f>LOG('Stock Data'!D67)-LOG('Stock Data'!D66)</f>
        <v>3.152024092328265E-2</v>
      </c>
      <c r="E67">
        <f>LOG('Stock Data'!E67)-LOG('Stock Data'!E66)</f>
        <v>1.9555749417959678E-2</v>
      </c>
      <c r="F67">
        <f>LOG('Stock Data'!F67)-LOG('Stock Data'!F66)</f>
        <v>-1.4594373989531562E-3</v>
      </c>
      <c r="G67">
        <f>LOG('Stock Data'!G67)-LOG('Stock Data'!G66)</f>
        <v>8.1162321445054086E-3</v>
      </c>
      <c r="H67">
        <f>LOG('Stock Data'!H67)-LOG('Stock Data'!H66)</f>
        <v>3.4668549229503576E-2</v>
      </c>
      <c r="I67">
        <f>LOG('Stock Data'!I67)-LOG('Stock Data'!I66)</f>
        <v>2.2057367481880252E-2</v>
      </c>
      <c r="J67">
        <f>LOG('Stock Data'!J67)-LOG('Stock Data'!J66)</f>
        <v>-1.6192198712385419E-2</v>
      </c>
      <c r="K67">
        <f>LOG('Stock Data'!K67)-LOG('Stock Data'!K66)</f>
        <v>7.852144295690433E-2</v>
      </c>
      <c r="L67">
        <f>LOG('Stock Data'!L67)-LOG('Stock Data'!L66)</f>
        <v>9.1566373877093543E-2</v>
      </c>
      <c r="M67">
        <f>LOG('Stock Data'!M67)-LOG('Stock Data'!M66)</f>
        <v>-1.3799815090896228E-2</v>
      </c>
      <c r="N67">
        <f>LOG('Stock Data'!N67)-LOG('Stock Data'!N66)</f>
        <v>2.9428973851582718E-2</v>
      </c>
      <c r="O67">
        <f>LOG('Stock Data'!O67)-LOG('Stock Data'!O66)</f>
        <v>4.2165363211282836E-2</v>
      </c>
      <c r="P67">
        <f>LOG('Stock Data'!P67)-LOG('Stock Data'!P66)</f>
        <v>-5.6146106441117283E-3</v>
      </c>
      <c r="Q67">
        <f>LOG('Stock Data'!Q67)-LOG('Stock Data'!Q66)</f>
        <v>2.047422444422109E-2</v>
      </c>
      <c r="R67" s="3">
        <f>'Stock Data'!R67/(100*12)</f>
        <v>3.6333333333333335E-3</v>
      </c>
    </row>
    <row r="68" spans="1:18" x14ac:dyDescent="0.3">
      <c r="A68" s="1">
        <f>'Stock Data'!A68</f>
        <v>45664</v>
      </c>
      <c r="B68">
        <f>LOG('Stock Data'!B68)-LOG('Stock Data'!B67)</f>
        <v>1.3618842326339031E-2</v>
      </c>
      <c r="C68">
        <f>LOG('Stock Data'!C68)-LOG('Stock Data'!C67)</f>
        <v>3.5843786723499527E-2</v>
      </c>
      <c r="D68">
        <f>LOG('Stock Data'!D68)-LOG('Stock Data'!D67)</f>
        <v>2.9723035782715179E-2</v>
      </c>
      <c r="E68">
        <f>LOG('Stock Data'!E68)-LOG('Stock Data'!E67)</f>
        <v>1.9975151215759546E-2</v>
      </c>
      <c r="F68">
        <f>LOG('Stock Data'!F68)-LOG('Stock Data'!F67)</f>
        <v>-4.1808299537393623E-3</v>
      </c>
      <c r="G68">
        <f>LOG('Stock Data'!G68)-LOG('Stock Data'!G67)</f>
        <v>-5.4829190633500779E-3</v>
      </c>
      <c r="H68">
        <f>LOG('Stock Data'!H68)-LOG('Stock Data'!H67)</f>
        <v>4.3740018220675303E-2</v>
      </c>
      <c r="I68">
        <f>LOG('Stock Data'!I68)-LOG('Stock Data'!I67)</f>
        <v>-2.4143957781349812E-2</v>
      </c>
      <c r="J68">
        <f>LOG('Stock Data'!J68)-LOG('Stock Data'!J67)</f>
        <v>5.9299770528841167E-2</v>
      </c>
      <c r="K68">
        <f>LOG('Stock Data'!K68)-LOG('Stock Data'!K67)</f>
        <v>6.2023948400560247E-2</v>
      </c>
      <c r="L68">
        <f>LOG('Stock Data'!L68)-LOG('Stock Data'!L67)</f>
        <v>3.9820119281948951E-2</v>
      </c>
      <c r="M68">
        <f>LOG('Stock Data'!M68)-LOG('Stock Data'!M67)</f>
        <v>1.326331782451895E-2</v>
      </c>
      <c r="N68">
        <f>LOG('Stock Data'!N68)-LOG('Stock Data'!N67)</f>
        <v>4.6905702016468709E-2</v>
      </c>
      <c r="O68">
        <f>LOG('Stock Data'!O68)-LOG('Stock Data'!O67)</f>
        <v>3.0016005886247088E-2</v>
      </c>
      <c r="P68">
        <f>LOG('Stock Data'!P68)-LOG('Stock Data'!P67)</f>
        <v>1.795809760623035E-2</v>
      </c>
      <c r="Q68">
        <f>LOG('Stock Data'!Q68)-LOG('Stock Data'!Q67)</f>
        <v>2.0890104135116605E-2</v>
      </c>
      <c r="R68" s="3">
        <f>'Stock Data'!R68/(100*12)</f>
        <v>3.5416666666666665E-3</v>
      </c>
    </row>
    <row r="69" spans="1:18" x14ac:dyDescent="0.3">
      <c r="A69" s="1">
        <f>'Stock Data'!A69</f>
        <v>45665</v>
      </c>
      <c r="B69">
        <f>LOG('Stock Data'!B69)-LOG('Stock Data'!B68)</f>
        <v>8.758372983077134E-3</v>
      </c>
      <c r="C69">
        <f>LOG('Stock Data'!C69)-LOG('Stock Data'!C68)</f>
        <v>3.2460771341074057E-2</v>
      </c>
      <c r="D69">
        <f>LOG('Stock Data'!D69)-LOG('Stock Data'!D68)</f>
        <v>-4.5547089797173257E-3</v>
      </c>
      <c r="E69">
        <f>LOG('Stock Data'!E69)-LOG('Stock Data'!E68)</f>
        <v>3.1637136764613771E-2</v>
      </c>
      <c r="F69">
        <f>LOG('Stock Data'!F69)-LOG('Stock Data'!F68)</f>
        <v>3.4054081405875625E-2</v>
      </c>
      <c r="G69">
        <f>LOG('Stock Data'!G69)-LOG('Stock Data'!G68)</f>
        <v>1.7762580258031679E-3</v>
      </c>
      <c r="H69">
        <f>LOG('Stock Data'!H69)-LOG('Stock Data'!H68)</f>
        <v>-7.3217962303395723E-4</v>
      </c>
      <c r="I69">
        <f>LOG('Stock Data'!I69)-LOG('Stock Data'!I68)</f>
        <v>-2.2608205459837105E-2</v>
      </c>
      <c r="J69">
        <f>LOG('Stock Data'!J69)-LOG('Stock Data'!J68)</f>
        <v>-5.8854111708919854E-2</v>
      </c>
      <c r="K69">
        <f>LOG('Stock Data'!K69)-LOG('Stock Data'!K68)</f>
        <v>4.6842634109246273E-2</v>
      </c>
      <c r="L69">
        <f>LOG('Stock Data'!L69)-LOG('Stock Data'!L68)</f>
        <v>-2.1333501742621497E-2</v>
      </c>
      <c r="M69">
        <f>LOG('Stock Data'!M69)-LOG('Stock Data'!M68)</f>
        <v>-1.771385530591596E-2</v>
      </c>
      <c r="N69">
        <f>LOG('Stock Data'!N69)-LOG('Stock Data'!N68)</f>
        <v>-6.0941310814963678E-2</v>
      </c>
      <c r="O69">
        <f>LOG('Stock Data'!O69)-LOG('Stock Data'!O68)</f>
        <v>-6.1391974973623586E-3</v>
      </c>
      <c r="P69">
        <f>LOG('Stock Data'!P69)-LOG('Stock Data'!P68)</f>
        <v>1.527181967982072E-2</v>
      </c>
      <c r="Q69">
        <f>LOG('Stock Data'!Q69)-LOG('Stock Data'!Q68)</f>
        <v>6.9651374729673421E-3</v>
      </c>
      <c r="R69" s="3">
        <f>'Stock Data'!R69/(100*12)</f>
        <v>3.4749999999999998E-3</v>
      </c>
    </row>
    <row r="70" spans="1:18" x14ac:dyDescent="0.3">
      <c r="A70" s="1">
        <f>'Stock Data'!A70</f>
        <v>45666</v>
      </c>
      <c r="B70">
        <f>LOG('Stock Data'!B70)-LOG('Stock Data'!B69)</f>
        <v>3.6294546305771114E-2</v>
      </c>
      <c r="C70">
        <f>LOG('Stock Data'!C70)-LOG('Stock Data'!C69)</f>
        <v>-2.8984410442634445E-2</v>
      </c>
      <c r="D70">
        <f>LOG('Stock Data'!D70)-LOG('Stock Data'!D69)</f>
        <v>1.2436573171684007E-2</v>
      </c>
      <c r="E70">
        <f>LOG('Stock Data'!E70)-LOG('Stock Data'!E69)</f>
        <v>4.24733056648674E-2</v>
      </c>
      <c r="F70">
        <f>LOG('Stock Data'!F70)-LOG('Stock Data'!F69)</f>
        <v>3.0379437079697702E-2</v>
      </c>
      <c r="G70">
        <f>LOG('Stock Data'!G70)-LOG('Stock Data'!G69)</f>
        <v>-3.4257899406224812E-3</v>
      </c>
      <c r="H70">
        <f>LOG('Stock Data'!H70)-LOG('Stock Data'!H69)</f>
        <v>1.4500868235058917E-2</v>
      </c>
      <c r="I70">
        <f>LOG('Stock Data'!I70)-LOG('Stock Data'!I69)</f>
        <v>1.5708412783050463E-2</v>
      </c>
      <c r="J70">
        <f>LOG('Stock Data'!J70)-LOG('Stock Data'!J69)</f>
        <v>8.7999711094813415E-2</v>
      </c>
      <c r="K70">
        <f>LOG('Stock Data'!K70)-LOG('Stock Data'!K69)</f>
        <v>-1.0324903905918781E-2</v>
      </c>
      <c r="L70">
        <f>LOG('Stock Data'!L70)-LOG('Stock Data'!L69)</f>
        <v>-2.0733620783635054E-3</v>
      </c>
      <c r="M70">
        <f>LOG('Stock Data'!M70)-LOG('Stock Data'!M69)</f>
        <v>2.5868195335278399E-2</v>
      </c>
      <c r="N70">
        <f>LOG('Stock Data'!N70)-LOG('Stock Data'!N69)</f>
        <v>1.2514435677962066E-2</v>
      </c>
      <c r="O70">
        <f>LOG('Stock Data'!O70)-LOG('Stock Data'!O69)</f>
        <v>3.4733281085345347E-2</v>
      </c>
      <c r="P70">
        <f>LOG('Stock Data'!P70)-LOG('Stock Data'!P69)</f>
        <v>8.3720160004827626E-3</v>
      </c>
      <c r="Q70">
        <f>LOG('Stock Data'!Q70)-LOG('Stock Data'!Q69)</f>
        <v>7.8196264439855945E-3</v>
      </c>
      <c r="R70" s="3">
        <f>'Stock Data'!R70/(100*12)</f>
        <v>3.4333333333333334E-3</v>
      </c>
    </row>
    <row r="71" spans="1:18" x14ac:dyDescent="0.3">
      <c r="A71" s="1">
        <f>'Stock Data'!A71</f>
        <v>45667</v>
      </c>
      <c r="B71">
        <f>LOG('Stock Data'!B71)-LOG('Stock Data'!B70)</f>
        <v>4.6298955373959672E-2</v>
      </c>
      <c r="C71">
        <f>LOG('Stock Data'!C71)-LOG('Stock Data'!C70)</f>
        <v>1.2269166653755104E-2</v>
      </c>
      <c r="D71">
        <f>LOG('Stock Data'!D71)-LOG('Stock Data'!D70)</f>
        <v>-1.2136763360272251E-2</v>
      </c>
      <c r="E71">
        <f>LOG('Stock Data'!E71)-LOG('Stock Data'!E70)</f>
        <v>6.2585231301848676E-2</v>
      </c>
      <c r="F71">
        <f>LOG('Stock Data'!F71)-LOG('Stock Data'!F70)</f>
        <v>2.0387994914744301E-2</v>
      </c>
      <c r="G71">
        <f>LOG('Stock Data'!G71)-LOG('Stock Data'!G70)</f>
        <v>2.317772642286986E-2</v>
      </c>
      <c r="H71">
        <f>LOG('Stock Data'!H71)-LOG('Stock Data'!H70)</f>
        <v>1.9390672724452607E-2</v>
      </c>
      <c r="I71">
        <f>LOG('Stock Data'!I71)-LOG('Stock Data'!I70)</f>
        <v>-1.0220479411535255E-2</v>
      </c>
      <c r="J71">
        <f>LOG('Stock Data'!J71)-LOG('Stock Data'!J70)</f>
        <v>0.14739923097148866</v>
      </c>
      <c r="K71">
        <f>LOG('Stock Data'!K71)-LOG('Stock Data'!K70)</f>
        <v>3.7285850943581611E-2</v>
      </c>
      <c r="L71">
        <f>LOG('Stock Data'!L71)-LOG('Stock Data'!L70)</f>
        <v>-1.1050581266909276E-2</v>
      </c>
      <c r="M71">
        <f>LOG('Stock Data'!M71)-LOG('Stock Data'!M70)</f>
        <v>2.12478332680055E-2</v>
      </c>
      <c r="N71">
        <f>LOG('Stock Data'!N71)-LOG('Stock Data'!N70)</f>
        <v>-7.8715169454524059E-3</v>
      </c>
      <c r="O71">
        <f>LOG('Stock Data'!O71)-LOG('Stock Data'!O70)</f>
        <v>9.240656734912589E-3</v>
      </c>
      <c r="P71">
        <f>LOG('Stock Data'!P71)-LOG('Stock Data'!P70)</f>
        <v>-6.2059542439749649E-3</v>
      </c>
      <c r="Q71">
        <f>LOG('Stock Data'!Q71)-LOG('Stock Data'!Q70)</f>
        <v>1.7512512629316301E-2</v>
      </c>
      <c r="R71" s="3">
        <f>'Stock Data'!R71/(100*12)</f>
        <v>3.4916666666666668E-3</v>
      </c>
    </row>
    <row r="72" spans="1:18" x14ac:dyDescent="0.3">
      <c r="A72" s="1">
        <f>'Stock Data'!A72</f>
        <v>45668</v>
      </c>
      <c r="B72">
        <f>LOG('Stock Data'!B72)-LOG('Stock Data'!B71)</f>
        <v>2.5430508738602864E-2</v>
      </c>
      <c r="C72">
        <f>LOG('Stock Data'!C72)-LOG('Stock Data'!C71)</f>
        <v>4.1977369326446912E-3</v>
      </c>
      <c r="D72">
        <f>LOG('Stock Data'!D72)-LOG('Stock Data'!D71)</f>
        <v>6.9973244260800982E-2</v>
      </c>
      <c r="E72">
        <f>LOG('Stock Data'!E72)-LOG('Stock Data'!E71)</f>
        <v>6.8944542370735995E-2</v>
      </c>
      <c r="F72">
        <f>LOG('Stock Data'!F72)-LOG('Stock Data'!F71)</f>
        <v>6.9488599553277908E-3</v>
      </c>
      <c r="G72">
        <f>LOG('Stock Data'!G72)-LOG('Stock Data'!G71)</f>
        <v>-7.4313190726105205E-3</v>
      </c>
      <c r="H72">
        <f>LOG('Stock Data'!H72)-LOG('Stock Data'!H71)</f>
        <v>-4.1277639607302241E-3</v>
      </c>
      <c r="I72">
        <f>LOG('Stock Data'!I72)-LOG('Stock Data'!I71)</f>
        <v>-1.0293175256474996E-2</v>
      </c>
      <c r="J72">
        <f>LOG('Stock Data'!J72)-LOG('Stock Data'!J71)</f>
        <v>7.9332331275067114E-2</v>
      </c>
      <c r="K72">
        <f>LOG('Stock Data'!K72)-LOG('Stock Data'!K71)</f>
        <v>5.0495566865960573E-2</v>
      </c>
      <c r="L72">
        <f>LOG('Stock Data'!L72)-LOG('Stock Data'!L71)</f>
        <v>-5.8640131712515142E-3</v>
      </c>
      <c r="M72">
        <f>LOG('Stock Data'!M72)-LOG('Stock Data'!M71)</f>
        <v>-2.371342089058559E-2</v>
      </c>
      <c r="N72">
        <f>LOG('Stock Data'!N72)-LOG('Stock Data'!N71)</f>
        <v>-1.5916067612558482E-2</v>
      </c>
      <c r="O72">
        <f>LOG('Stock Data'!O72)-LOG('Stock Data'!O71)</f>
        <v>1.628379699110627E-2</v>
      </c>
      <c r="P72">
        <f>LOG('Stock Data'!P72)-LOG('Stock Data'!P71)</f>
        <v>7.4214022492173903E-3</v>
      </c>
      <c r="Q72">
        <f>LOG('Stock Data'!Q72)-LOG('Stock Data'!Q71)</f>
        <v>1.3939920806868678E-2</v>
      </c>
      <c r="R72" s="3">
        <f>'Stock Data'!R72/(100*12)</f>
        <v>3.5666666666666668E-3</v>
      </c>
    </row>
    <row r="73" spans="1:18" x14ac:dyDescent="0.3">
      <c r="A73" s="1">
        <f>'Stock Data'!A73</f>
        <v>45669</v>
      </c>
      <c r="B73">
        <f>LOG('Stock Data'!B73)-LOG('Stock Data'!B72)</f>
        <v>1.2021609286154256E-2</v>
      </c>
      <c r="C73">
        <f>LOG('Stock Data'!C73)-LOG('Stock Data'!C72)</f>
        <v>-2.7033944146192646E-2</v>
      </c>
      <c r="D73">
        <f>LOG('Stock Data'!D73)-LOG('Stock Data'!D72)</f>
        <v>-3.9387078655725549E-2</v>
      </c>
      <c r="E73">
        <f>LOG('Stock Data'!E73)-LOG('Stock Data'!E72)</f>
        <v>5.1506376659839592E-2</v>
      </c>
      <c r="F73">
        <f>LOG('Stock Data'!F73)-LOG('Stock Data'!F72)</f>
        <v>3.8458251819175615E-2</v>
      </c>
      <c r="G73">
        <f>LOG('Stock Data'!G73)-LOG('Stock Data'!G72)</f>
        <v>3.9854885808749518E-2</v>
      </c>
      <c r="H73">
        <f>LOG('Stock Data'!H73)-LOG('Stock Data'!H72)</f>
        <v>2.7145668624775077E-3</v>
      </c>
      <c r="I73">
        <f>LOG('Stock Data'!I73)-LOG('Stock Data'!I72)</f>
        <v>-5.8256337220616849E-3</v>
      </c>
      <c r="J73">
        <f>LOG('Stock Data'!J73)-LOG('Stock Data'!J72)</f>
        <v>-4.2285903394183588E-3</v>
      </c>
      <c r="K73">
        <f>LOG('Stock Data'!K73)-LOG('Stock Data'!K72)</f>
        <v>-7.5788303150285508E-2</v>
      </c>
      <c r="L73">
        <f>LOG('Stock Data'!L73)-LOG('Stock Data'!L72)</f>
        <v>-3.0487217418222912E-2</v>
      </c>
      <c r="M73">
        <f>LOG('Stock Data'!M73)-LOG('Stock Data'!M72)</f>
        <v>2.0187329949057364E-2</v>
      </c>
      <c r="N73">
        <f>LOG('Stock Data'!N73)-LOG('Stock Data'!N72)</f>
        <v>-2.6916181163430419E-2</v>
      </c>
      <c r="O73">
        <f>LOG('Stock Data'!O73)-LOG('Stock Data'!O72)</f>
        <v>1.9526199183059756E-3</v>
      </c>
      <c r="P73">
        <f>LOG('Stock Data'!P73)-LOG('Stock Data'!P72)</f>
        <v>6.0267330626673221E-3</v>
      </c>
      <c r="Q73">
        <f>LOG('Stock Data'!Q73)-LOG('Stock Data'!Q72)</f>
        <v>-4.441096520673149E-3</v>
      </c>
      <c r="R73" s="3">
        <f>'Stock Data'!R73/(100*12)</f>
        <v>3.5166666666666666E-3</v>
      </c>
    </row>
    <row r="74" spans="1:18" x14ac:dyDescent="0.3">
      <c r="A74" s="1">
        <f>'Stock Data'!A74</f>
        <v>46023</v>
      </c>
      <c r="B74">
        <f>LOG('Stock Data'!B74)-LOG('Stock Data'!B73)</f>
        <v>-9.0765775588375064E-3</v>
      </c>
      <c r="C74">
        <f>LOG('Stock Data'!C74)-LOG('Stock Data'!C73)</f>
        <v>-3.6071622572162454E-3</v>
      </c>
      <c r="D74">
        <f>LOG('Stock Data'!D74)-LOG('Stock Data'!D73)</f>
        <v>-3.5150597689344032E-3</v>
      </c>
      <c r="E74">
        <f>LOG('Stock Data'!E74)-LOG('Stock Data'!E73)</f>
        <v>-1.0949756368470176E-3</v>
      </c>
      <c r="F74">
        <f>LOG('Stock Data'!F74)-LOG('Stock Data'!F73)</f>
        <v>6.7247779917112283E-4</v>
      </c>
      <c r="G74">
        <f>LOG('Stock Data'!G74)-LOG('Stock Data'!G73)</f>
        <v>3.6005516076240696E-3</v>
      </c>
      <c r="H74">
        <f>LOG('Stock Data'!H74)-LOG('Stock Data'!H73)</f>
        <v>1.3054763081971732E-2</v>
      </c>
      <c r="I74">
        <f>LOG('Stock Data'!I74)-LOG('Stock Data'!I73)</f>
        <v>-1.4885076801397279E-2</v>
      </c>
      <c r="J74">
        <f>LOG('Stock Data'!J74)-LOG('Stock Data'!J73)</f>
        <v>-2.3390309536943876E-2</v>
      </c>
      <c r="K74">
        <f>LOG('Stock Data'!K74)-LOG('Stock Data'!K73)</f>
        <v>3.5945689171752004E-2</v>
      </c>
      <c r="L74">
        <f>LOG('Stock Data'!L74)-LOG('Stock Data'!L73)</f>
        <v>3.3907935920675314E-2</v>
      </c>
      <c r="M74">
        <f>LOG('Stock Data'!M74)-LOG('Stock Data'!M73)</f>
        <v>-1.335342464965783E-2</v>
      </c>
      <c r="N74">
        <f>LOG('Stock Data'!N74)-LOG('Stock Data'!N73)</f>
        <v>-5.3662325996941762E-2</v>
      </c>
      <c r="O74">
        <f>LOG('Stock Data'!O74)-LOG('Stock Data'!O73)</f>
        <v>1.2245730789927967E-2</v>
      </c>
      <c r="P74">
        <f>LOG('Stock Data'!P74)-LOG('Stock Data'!P73)</f>
        <v>1.4674625086193771E-2</v>
      </c>
      <c r="Q74">
        <f>LOG('Stock Data'!Q74)-LOG('Stock Data'!Q73)</f>
        <v>4.1753519435254738E-3</v>
      </c>
      <c r="R74" s="3">
        <f>'Stock Data'!R74/(100*12)</f>
        <v>3.4583333333333337E-3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B6FEA-51BF-492B-9735-0FB74012741D}">
  <dimension ref="A1:Q74"/>
  <sheetViews>
    <sheetView workbookViewId="0">
      <selection activeCell="B1" sqref="B1"/>
    </sheetView>
  </sheetViews>
  <sheetFormatPr defaultRowHeight="14.4" x14ac:dyDescent="0.3"/>
  <cols>
    <col min="1" max="1" width="9.33203125" bestFit="1" customWidth="1"/>
    <col min="3" max="3" width="10.77734375" bestFit="1" customWidth="1"/>
    <col min="4" max="4" width="12.77734375" bestFit="1" customWidth="1"/>
    <col min="5" max="5" width="11" bestFit="1" customWidth="1"/>
    <col min="6" max="6" width="19.77734375" bestFit="1" customWidth="1"/>
    <col min="8" max="8" width="22.109375" bestFit="1" customWidth="1"/>
    <col min="9" max="9" width="17.77734375" bestFit="1" customWidth="1"/>
    <col min="12" max="12" width="11.88671875" bestFit="1" customWidth="1"/>
    <col min="15" max="15" width="16.33203125" customWidth="1"/>
    <col min="16" max="16" width="12.21875" bestFit="1" customWidth="1"/>
  </cols>
  <sheetData>
    <row r="1" spans="1:17" x14ac:dyDescent="0.3">
      <c r="A1" s="1" t="str">
        <f>Returns!A1</f>
        <v>Date</v>
      </c>
      <c r="B1" s="1" t="str">
        <f>Returns!B1</f>
        <v>APPLE</v>
      </c>
      <c r="C1" s="1" t="str">
        <f>Returns!C1</f>
        <v>MICROSOFT</v>
      </c>
      <c r="D1" s="1" t="str">
        <f>Returns!D1</f>
        <v>AMAZON,COM</v>
      </c>
      <c r="E1" s="1" t="str">
        <f>Returns!E1</f>
        <v>ALPHABET A</v>
      </c>
      <c r="F1" s="1" t="str">
        <f>Returns!F1</f>
        <v>JOHNSON &amp; JOHNSON</v>
      </c>
      <c r="G1" s="1" t="str">
        <f>Returns!G1</f>
        <v>WALMART</v>
      </c>
      <c r="H1" s="1" t="str">
        <f>Returns!H1</f>
        <v>JP MORGAN CHASE &amp; CO.</v>
      </c>
      <c r="I1" s="1" t="str">
        <f>Returns!I1</f>
        <v>PROCTER &amp; GAMBLE</v>
      </c>
      <c r="J1" s="1" t="str">
        <f>Returns!J1</f>
        <v>INTEL</v>
      </c>
      <c r="K1" s="1" t="str">
        <f>Returns!K1</f>
        <v>NVIDIA</v>
      </c>
      <c r="L1" s="1" t="str">
        <f>Returns!L1</f>
        <v>WALT DISNEY</v>
      </c>
      <c r="M1" s="1" t="str">
        <f>Returns!M1</f>
        <v>PFIZER</v>
      </c>
      <c r="N1" s="1" t="str">
        <f>Returns!N1</f>
        <v>NETFLIX</v>
      </c>
      <c r="O1" s="1" t="str">
        <f>Returns!O1</f>
        <v>BANK OF AMERICA</v>
      </c>
      <c r="P1" s="1" t="str">
        <f>Returns!P1</f>
        <v>EXXON MOBIL</v>
      </c>
      <c r="Q1" s="1" t="str">
        <f>Returns!Q1</f>
        <v>S&amp;P500</v>
      </c>
    </row>
    <row r="2" spans="1:17" x14ac:dyDescent="0.3">
      <c r="A2" s="1">
        <f>Returns!A2</f>
        <v>43831</v>
      </c>
    </row>
    <row r="3" spans="1:17" x14ac:dyDescent="0.3">
      <c r="A3" s="1">
        <f>Returns!A3</f>
        <v>43832</v>
      </c>
      <c r="B3">
        <f>Returns!B3-Returns!$R3</f>
        <v>1.0379708541595286E-2</v>
      </c>
      <c r="C3">
        <f>Returns!C3-Returns!$R3</f>
        <v>2.9500246388553836E-2</v>
      </c>
      <c r="D3">
        <f>Returns!D3-Returns!$R3</f>
        <v>2.9074406155177507E-2</v>
      </c>
      <c r="E3">
        <f>Returns!E3-Returns!$R3</f>
        <v>3.3759790495547087E-2</v>
      </c>
      <c r="F3">
        <f>Returns!F3-Returns!$R3</f>
        <v>9.1927491182388372E-3</v>
      </c>
      <c r="G3">
        <f>Returns!G3-Returns!$R3</f>
        <v>-1.5965697233905535E-2</v>
      </c>
      <c r="H3">
        <f>Returns!H3-Returns!$R3</f>
        <v>-2.3986111922601944E-2</v>
      </c>
      <c r="I3">
        <f>Returns!I3-Returns!$R3</f>
        <v>-6.9222887577538475E-4</v>
      </c>
      <c r="J3">
        <f>Returns!J3-Returns!$R3</f>
        <v>2.8087958496777671E-2</v>
      </c>
      <c r="K3">
        <f>Returns!K3-Returns!$R3</f>
        <v>-7.1090363422674765E-3</v>
      </c>
      <c r="L3">
        <f>Returns!L3-Returns!$R3</f>
        <v>-1.8009618881242667E-2</v>
      </c>
      <c r="M3">
        <f>Returns!M3-Returns!$R3</f>
        <v>-2.2025604782696356E-2</v>
      </c>
      <c r="N3">
        <f>Returns!N3-Returns!$R3</f>
        <v>2.5978917698497445E-2</v>
      </c>
      <c r="O3">
        <f>Returns!O3-Returns!$R3</f>
        <v>-3.1125478255030786E-2</v>
      </c>
      <c r="P3">
        <f>Returns!P3-Returns!$R3</f>
        <v>-5.9807618802242307E-2</v>
      </c>
      <c r="Q3">
        <f>Returns!Q3-Returns!$R3</f>
        <v>-2.4576532532634412E-3</v>
      </c>
    </row>
    <row r="4" spans="1:17" x14ac:dyDescent="0.3">
      <c r="A4" s="1">
        <f>Returns!A4</f>
        <v>43833</v>
      </c>
      <c r="B4">
        <f>Returns!B4-Returns!$R4</f>
        <v>-3.3318298820885245E-2</v>
      </c>
      <c r="C4">
        <f>Returns!C4-Returns!$R4</f>
        <v>-1.3971918111748052E-2</v>
      </c>
      <c r="D4">
        <f>Returns!D4-Returns!$R4</f>
        <v>-2.3836648880515645E-2</v>
      </c>
      <c r="E4">
        <f>Returns!E4-Returns!$R4</f>
        <v>-3.4769619755525311E-2</v>
      </c>
      <c r="F4">
        <f>Returns!F4-Returns!$R4</f>
        <v>-4.5508280037438814E-2</v>
      </c>
      <c r="G4">
        <f>Returns!G4-Returns!$R4</f>
        <v>-2.9192397292656127E-2</v>
      </c>
      <c r="H4">
        <f>Returns!H4-Returns!$R4</f>
        <v>-5.6654717336524302E-2</v>
      </c>
      <c r="I4">
        <f>Returns!I4-Returns!$R4</f>
        <v>-4.2644062635321861E-2</v>
      </c>
      <c r="J4">
        <f>Returns!J4-Returns!$R4</f>
        <v>-6.33915602790526E-2</v>
      </c>
      <c r="K4">
        <f>Returns!K4-Returns!$R4</f>
        <v>6.9265799669656153E-2</v>
      </c>
      <c r="L4">
        <f>Returns!L4-Returns!$R4</f>
        <v>-7.0179963101414083E-2</v>
      </c>
      <c r="M4">
        <f>Returns!M4-Returns!$R4</f>
        <v>-4.4029799874289705E-2</v>
      </c>
      <c r="N4">
        <f>Returns!N4-Returns!$R4</f>
        <v>3.0520532536374743E-2</v>
      </c>
      <c r="O4">
        <f>Returns!O4-Returns!$R4</f>
        <v>-6.6685876648962111E-2</v>
      </c>
      <c r="P4">
        <f>Returns!P4-Returns!$R4</f>
        <v>-6.7848713282346346E-2</v>
      </c>
      <c r="Q4">
        <f>Returns!Q4-Returns!$R4</f>
        <v>-3.7306029316683281E-2</v>
      </c>
    </row>
    <row r="5" spans="1:17" x14ac:dyDescent="0.3">
      <c r="A5" s="1">
        <f>Returns!A5</f>
        <v>43834</v>
      </c>
      <c r="B5">
        <f>Returns!B5-Returns!$R5</f>
        <v>-5.9377949703458506E-2</v>
      </c>
      <c r="C5">
        <f>Returns!C5-Returns!$R5</f>
        <v>-3.4157695067574108E-2</v>
      </c>
      <c r="D5">
        <f>Returns!D5-Returns!$R5</f>
        <v>5.4678246901534392E-3</v>
      </c>
      <c r="E5">
        <f>Returns!E5-Returns!$R5</f>
        <v>-8.0567603355913897E-2</v>
      </c>
      <c r="F5">
        <f>Returns!F5-Returns!$R5</f>
        <v>-2.3984554772268078E-2</v>
      </c>
      <c r="G5">
        <f>Returns!G5-Returns!$R5</f>
        <v>1.7357920366846854E-2</v>
      </c>
      <c r="H5">
        <f>Returns!H5-Returns!$R5</f>
        <v>-0.13743071554124525</v>
      </c>
      <c r="I5">
        <f>Returns!I5-Returns!$R5</f>
        <v>-2.1135413250408189E-2</v>
      </c>
      <c r="J5">
        <f>Returns!J5-Returns!$R5</f>
        <v>-2.6947058004412387E-2</v>
      </c>
      <c r="K5">
        <f>Returns!K5-Returns!$R5</f>
        <v>-3.5155236298357657E-2</v>
      </c>
      <c r="L5">
        <f>Returns!L5-Returns!$R5</f>
        <v>-0.10575953091102747</v>
      </c>
      <c r="M5">
        <f>Returns!M5-Returns!$R5</f>
        <v>-2.6726948740157744E-2</v>
      </c>
      <c r="N5">
        <f>Returns!N5-Returns!$R5</f>
        <v>2.8125958868319648E-3</v>
      </c>
      <c r="O5">
        <f>Returns!O5-Returns!$R5</f>
        <v>-0.15359576452843776</v>
      </c>
      <c r="P5">
        <f>Returns!P5-Returns!$R5</f>
        <v>-0.15489783993040235</v>
      </c>
      <c r="Q5">
        <f>Returns!Q5-Returns!$R5</f>
        <v>-7.6325508414383625E-2</v>
      </c>
    </row>
    <row r="6" spans="1:17" x14ac:dyDescent="0.3">
      <c r="A6" s="1">
        <f>Returns!A6</f>
        <v>43835</v>
      </c>
      <c r="B6">
        <f>Returns!B6-Returns!$R6</f>
        <v>6.4319830831326752E-2</v>
      </c>
      <c r="C6">
        <f>Returns!C6-Returns!$R6</f>
        <v>5.9769106586820768E-2</v>
      </c>
      <c r="D6">
        <f>Returns!D6-Returns!$R6</f>
        <v>8.1831356603606742E-2</v>
      </c>
      <c r="E6">
        <f>Returns!E6-Returns!$R6</f>
        <v>7.0563340537305508E-2</v>
      </c>
      <c r="F6">
        <f>Returns!F6-Returns!$R6</f>
        <v>6.8240419810585595E-2</v>
      </c>
      <c r="G6">
        <f>Returns!G6-Returns!$R6</f>
        <v>3.415014639226676E-2</v>
      </c>
      <c r="H6">
        <f>Returns!H6-Returns!$R6</f>
        <v>4.0323717454596612E-2</v>
      </c>
      <c r="I6">
        <f>Returns!I6-Returns!$R6</f>
        <v>3.6626341736536776E-2</v>
      </c>
      <c r="J6">
        <f>Returns!J6-Returns!$R6</f>
        <v>4.888121164815639E-2</v>
      </c>
      <c r="K6">
        <f>Returns!K6-Returns!$R6</f>
        <v>4.5810409238032916E-2</v>
      </c>
      <c r="L6">
        <f>Returns!L6-Returns!$R6</f>
        <v>5.5408384453678454E-2</v>
      </c>
      <c r="M6">
        <f>Returns!M6-Returns!$R6</f>
        <v>7.3425177351553184E-2</v>
      </c>
      <c r="N6">
        <f>Returns!N6-Returns!$R6</f>
        <v>4.2406555117525106E-2</v>
      </c>
      <c r="O6">
        <f>Returns!O6-Returns!$R6</f>
        <v>6.8778874792000289E-2</v>
      </c>
      <c r="P6">
        <f>Returns!P6-Returns!$R6</f>
        <v>9.2136804556272378E-2</v>
      </c>
      <c r="Q6">
        <f>Returns!Q6-Returns!$R6</f>
        <v>5.9579496070983555E-2</v>
      </c>
    </row>
    <row r="7" spans="1:17" x14ac:dyDescent="0.3">
      <c r="A7" s="1">
        <f>Returns!A7</f>
        <v>43836</v>
      </c>
      <c r="B7">
        <f>Returns!B7-Returns!$R7</f>
        <v>4.4760570258655971E-2</v>
      </c>
      <c r="C7">
        <f>Returns!C7-Returns!$R7</f>
        <v>1.5730842123038203E-2</v>
      </c>
      <c r="D7">
        <f>Returns!D7-Returns!$R7</f>
        <v>1.9581536174697368E-2</v>
      </c>
      <c r="E7">
        <f>Returns!E7-Returns!$R7</f>
        <v>3.1562291939956508E-2</v>
      </c>
      <c r="F7">
        <f>Returns!F7-Returns!$R7</f>
        <v>-7.4247215704337345E-3</v>
      </c>
      <c r="G7">
        <f>Returns!G7-Returns!$R7</f>
        <v>6.4137294465418269E-3</v>
      </c>
      <c r="H7">
        <f>Returns!H7-Returns!$R7</f>
        <v>1.8696821862053337E-2</v>
      </c>
      <c r="I7">
        <f>Returns!I7-Returns!$R7</f>
        <v>-6.5576658465345107E-3</v>
      </c>
      <c r="J7">
        <f>Returns!J7-Returns!$R7</f>
        <v>2.5603342946628461E-2</v>
      </c>
      <c r="K7">
        <f>Returns!K7-Returns!$R7</f>
        <v>9.3482769514468864E-2</v>
      </c>
      <c r="L7">
        <f>Returns!L7-Returns!$R7</f>
        <v>4.1763227855915672E-2</v>
      </c>
      <c r="M7">
        <f>Returns!M7-Returns!$R7</f>
        <v>-2.8475699145392063E-2</v>
      </c>
      <c r="N7">
        <f>Returns!N7-Returns!$R7</f>
        <v>3.2456062949519525E-3</v>
      </c>
      <c r="O7">
        <f>Returns!O7-Returns!$R7</f>
        <v>1.5795842244065373E-2</v>
      </c>
      <c r="P7">
        <f>Returns!P7-Returns!$R7</f>
        <v>-3.5689009146344765E-3</v>
      </c>
      <c r="Q7">
        <f>Returns!Q7-Returns!$R7</f>
        <v>2.434675429069676E-2</v>
      </c>
    </row>
    <row r="8" spans="1:17" x14ac:dyDescent="0.3">
      <c r="A8" s="1">
        <f>Returns!A8</f>
        <v>43837</v>
      </c>
      <c r="B8">
        <f>Returns!B8-Returns!$R8</f>
        <v>5.9819729256166687E-2</v>
      </c>
      <c r="C8">
        <f>Returns!C8-Returns!$R8</f>
        <v>4.5920735255182532E-2</v>
      </c>
      <c r="D8">
        <f>Returns!D8-Returns!$R8</f>
        <v>5.1266181699640534E-2</v>
      </c>
      <c r="E8">
        <f>Returns!E8-Returns!$R8</f>
        <v>-2.5316745559864086E-3</v>
      </c>
      <c r="F8">
        <f>Returns!F8-Returns!$R8</f>
        <v>-2.0426699200021659E-2</v>
      </c>
      <c r="G8">
        <f>Returns!G8-Returns!$R8</f>
        <v>-1.4785250523564554E-2</v>
      </c>
      <c r="H8">
        <f>Returns!H8-Returns!$R8</f>
        <v>-1.3412986099185788E-2</v>
      </c>
      <c r="I8">
        <f>Returns!I8-Returns!$R8</f>
        <v>1.2938047055870703E-2</v>
      </c>
      <c r="J8">
        <f>Returns!J8-Returns!$R8</f>
        <v>-1.8827871743709979E-2</v>
      </c>
      <c r="K8">
        <f>Returns!K8-Returns!$R8</f>
        <v>3.215957814023912E-2</v>
      </c>
      <c r="L8">
        <f>Returns!L8-Returns!$R8</f>
        <v>-1.7280461126070346E-2</v>
      </c>
      <c r="M8">
        <f>Returns!M8-Returns!$R8</f>
        <v>-1.2423060150739742E-2</v>
      </c>
      <c r="N8">
        <f>Returns!N8-Returns!$R8</f>
        <v>3.4532513183632541E-2</v>
      </c>
      <c r="O8">
        <f>Returns!O8-Returns!$R8</f>
        <v>-5.0115782659864733E-3</v>
      </c>
      <c r="P8">
        <f>Returns!P8-Returns!$R8</f>
        <v>-8.544162109981936E-3</v>
      </c>
      <c r="Q8">
        <f>Returns!Q8-Returns!$R8</f>
        <v>8.9743392384916115E-3</v>
      </c>
    </row>
    <row r="9" spans="1:17" x14ac:dyDescent="0.3">
      <c r="A9" s="1">
        <f>Returns!A9</f>
        <v>43838</v>
      </c>
      <c r="B9">
        <f>Returns!B9-Returns!$R9</f>
        <v>7.3309962693725694E-2</v>
      </c>
      <c r="C9">
        <f>Returns!C9-Returns!$R9</f>
        <v>1.701432302290606E-2</v>
      </c>
      <c r="D9">
        <f>Returns!D9-Returns!$R9</f>
        <v>6.1373126103572366E-2</v>
      </c>
      <c r="E9">
        <f>Returns!E9-Returns!$R9</f>
        <v>2.0892374298676627E-2</v>
      </c>
      <c r="F9">
        <f>Returns!F9-Returns!$R9</f>
        <v>1.6706514482007547E-2</v>
      </c>
      <c r="G9">
        <f>Returns!G9-Returns!$R9</f>
        <v>3.5844973995307942E-2</v>
      </c>
      <c r="H9">
        <f>Returns!H9-Returns!$R9</f>
        <v>9.0991569879927924E-3</v>
      </c>
      <c r="I9">
        <f>Returns!I9-Returns!$R9</f>
        <v>3.705629276887578E-2</v>
      </c>
      <c r="J9">
        <f>Returns!J9-Returns!$R9</f>
        <v>-9.4363687438339561E-2</v>
      </c>
      <c r="K9">
        <f>Returns!K9-Returns!$R9</f>
        <v>5.1421106914810048E-2</v>
      </c>
      <c r="L9">
        <f>Returns!L9-Returns!$R9</f>
        <v>1.2166227301110718E-2</v>
      </c>
      <c r="M9">
        <f>Returns!M9-Returns!$R9</f>
        <v>4.7860743651821462E-2</v>
      </c>
      <c r="N9">
        <f>Returns!N9-Returns!$R9</f>
        <v>3.3395512576098733E-2</v>
      </c>
      <c r="O9">
        <f>Returns!O9-Returns!$R9</f>
        <v>1.716541213765654E-2</v>
      </c>
      <c r="P9">
        <f>Returns!P9-Returns!$R9</f>
        <v>-2.5038072280780147E-2</v>
      </c>
      <c r="Q9">
        <f>Returns!Q9-Returns!$R9</f>
        <v>2.4234217565515023E-2</v>
      </c>
    </row>
    <row r="10" spans="1:17" x14ac:dyDescent="0.3">
      <c r="A10" s="1">
        <f>Returns!A10</f>
        <v>43839</v>
      </c>
      <c r="B10">
        <f>Returns!B10-Returns!$R10</f>
        <v>8.8273316299349147E-2</v>
      </c>
      <c r="C10">
        <f>Returns!C10-Returns!$R10</f>
        <v>2.724770049354424E-2</v>
      </c>
      <c r="D10">
        <f>Returns!D10-Returns!$R10</f>
        <v>3.9699926957888092E-2</v>
      </c>
      <c r="E10">
        <f>Returns!E10-Returns!$R10</f>
        <v>3.8729063400251666E-2</v>
      </c>
      <c r="F10">
        <f>Returns!F10-Returns!$R10</f>
        <v>2.1075876333196124E-2</v>
      </c>
      <c r="G10">
        <f>Returns!G10-Returns!$R10</f>
        <v>3.5689635286567149E-2</v>
      </c>
      <c r="H10">
        <f>Returns!H10-Returns!$R10</f>
        <v>1.0613327406716992E-2</v>
      </c>
      <c r="I10">
        <f>Returns!I10-Returns!$R10</f>
        <v>2.3360945106502821E-2</v>
      </c>
      <c r="J10">
        <f>Returns!J10-Returns!$R10</f>
        <v>2.2559131551979465E-2</v>
      </c>
      <c r="K10">
        <f>Returns!K10-Returns!$R10</f>
        <v>9.8523503566683324E-2</v>
      </c>
      <c r="L10">
        <f>Returns!L10-Returns!$R10</f>
        <v>5.4649986612643246E-2</v>
      </c>
      <c r="M10">
        <f>Returns!M10-Returns!$R10</f>
        <v>-9.9221705480646086E-3</v>
      </c>
      <c r="N10">
        <f>Returns!N10-Returns!$R10</f>
        <v>3.4841463336386429E-2</v>
      </c>
      <c r="O10">
        <f>Returns!O10-Returns!$R10</f>
        <v>8.8730238677449599E-3</v>
      </c>
      <c r="P10">
        <f>Returns!P10-Returns!$R10</f>
        <v>-2.4995533808108546E-2</v>
      </c>
      <c r="Q10">
        <f>Returns!Q10-Returns!$R10</f>
        <v>2.7457434310133859E-2</v>
      </c>
    </row>
    <row r="11" spans="1:17" x14ac:dyDescent="0.3">
      <c r="A11" s="1">
        <f>Returns!A11</f>
        <v>43840</v>
      </c>
      <c r="B11">
        <f>Returns!B11-Returns!$R11</f>
        <v>-5.3170561234867977E-2</v>
      </c>
      <c r="C11">
        <f>Returns!C11-Returns!$R11</f>
        <v>-2.4446601076364333E-2</v>
      </c>
      <c r="D11">
        <f>Returns!D11-Returns!$R11</f>
        <v>-3.7199621955832277E-2</v>
      </c>
      <c r="E11">
        <f>Returns!E11-Returns!$R11</f>
        <v>-4.21148821966736E-2</v>
      </c>
      <c r="F11">
        <f>Returns!F11-Returns!$R11</f>
        <v>-1.372339165506355E-2</v>
      </c>
      <c r="G11">
        <f>Returns!G11-Returns!$R11</f>
        <v>-1.9519774274378179E-3</v>
      </c>
      <c r="H11">
        <f>Returns!H11-Returns!$R11</f>
        <v>-1.1390923965579298E-2</v>
      </c>
      <c r="I11">
        <f>Returns!I11-Returns!$R11</f>
        <v>4.7265864983923982E-3</v>
      </c>
      <c r="J11">
        <f>Returns!J11-Returns!$R11</f>
        <v>1.1869856613055157E-2</v>
      </c>
      <c r="K11">
        <f>Returns!K11-Returns!$R11</f>
        <v>8.2702083668580832E-3</v>
      </c>
      <c r="L11">
        <f>Returns!L11-Returns!$R11</f>
        <v>-2.4267474359792724E-2</v>
      </c>
      <c r="M11">
        <f>Returns!M11-Returns!$R11</f>
        <v>-1.0839972363439716E-2</v>
      </c>
      <c r="N11">
        <f>Returns!N11-Returns!$R11</f>
        <v>-2.2908978596456592E-2</v>
      </c>
      <c r="O11">
        <f>Returns!O11-Returns!$R11</f>
        <v>-2.3489097144033484E-2</v>
      </c>
      <c r="P11">
        <f>Returns!P11-Returns!$R11</f>
        <v>-7.1207274550926139E-2</v>
      </c>
      <c r="Q11">
        <f>Returns!Q11-Returns!$R11</f>
        <v>-1.5978304423707086E-2</v>
      </c>
    </row>
    <row r="12" spans="1:17" x14ac:dyDescent="0.3">
      <c r="A12" s="1">
        <f>Returns!A12</f>
        <v>43841</v>
      </c>
      <c r="B12">
        <f>Returns!B12-Returns!$R12</f>
        <v>-3.3415460060657237E-2</v>
      </c>
      <c r="C12">
        <f>Returns!C12-Returns!$R12</f>
        <v>-1.9855428794443599E-2</v>
      </c>
      <c r="D12">
        <f>Returns!D12-Returns!$R12</f>
        <v>-2.098254089625087E-2</v>
      </c>
      <c r="E12">
        <f>Returns!E12-Returns!$R12</f>
        <v>3.8437217988675249E-2</v>
      </c>
      <c r="F12">
        <f>Returns!F12-Returns!$R12</f>
        <v>-3.1861588120253442E-2</v>
      </c>
      <c r="G12">
        <f>Returns!G12-Returns!$R12</f>
        <v>-1.3732699515506507E-3</v>
      </c>
      <c r="H12">
        <f>Returns!H12-Returns!$R12</f>
        <v>9.3090168704400324E-3</v>
      </c>
      <c r="I12">
        <f>Returns!I12-Returns!$R12</f>
        <v>-4.0670647190900432E-3</v>
      </c>
      <c r="J12">
        <f>Returns!J12-Returns!$R12</f>
        <v>-6.7229984422722128E-2</v>
      </c>
      <c r="K12">
        <f>Returns!K12-Returns!$R12</f>
        <v>-3.6909728218156218E-2</v>
      </c>
      <c r="L12">
        <f>Returns!L12-Returns!$R12</f>
        <v>-1.0213160378388066E-2</v>
      </c>
      <c r="M12">
        <f>Returns!M12-Returns!$R12</f>
        <v>-1.2424298856324258E-2</v>
      </c>
      <c r="N12">
        <f>Returns!N12-Returns!$R12</f>
        <v>-2.4630679797191492E-2</v>
      </c>
      <c r="O12">
        <f>Returns!O12-Returns!$R12</f>
        <v>-7.5786265820569042E-3</v>
      </c>
      <c r="P12">
        <f>Returns!P12-Returns!$R12</f>
        <v>-9.1606876915783196E-3</v>
      </c>
      <c r="Q12">
        <f>Returns!Q12-Returns!$R12</f>
        <v>-1.2381724371706506E-2</v>
      </c>
    </row>
    <row r="13" spans="1:17" x14ac:dyDescent="0.3">
      <c r="A13" s="1">
        <f>Returns!A13</f>
        <v>43842</v>
      </c>
      <c r="B13">
        <f>Returns!B13-Returns!$R13</f>
        <v>4.4181705164954871E-2</v>
      </c>
      <c r="C13">
        <f>Returns!C13-Returns!$R13</f>
        <v>2.0425434449514026E-2</v>
      </c>
      <c r="D13">
        <f>Returns!D13-Returns!$R13</f>
        <v>1.6848223045589941E-2</v>
      </c>
      <c r="E13">
        <f>Returns!E13-Returns!$R13</f>
        <v>3.5884183455639346E-2</v>
      </c>
      <c r="F13">
        <f>Returns!F13-Returns!$R13</f>
        <v>2.1487332566897135E-2</v>
      </c>
      <c r="G13">
        <f>Returns!G13-Returns!$R13</f>
        <v>3.7692676714886825E-2</v>
      </c>
      <c r="H13">
        <f>Returns!H13-Returns!$R13</f>
        <v>8.2292316554014561E-2</v>
      </c>
      <c r="I13">
        <f>Returns!I13-Returns!$R13</f>
        <v>1.2582908047477893E-3</v>
      </c>
      <c r="J13">
        <f>Returns!J13-Returns!$R13</f>
        <v>3.4373317473550963E-2</v>
      </c>
      <c r="K13">
        <f>Returns!K13-Returns!$R13</f>
        <v>2.6803243990568073E-2</v>
      </c>
      <c r="L13">
        <f>Returns!L13-Returns!$R13</f>
        <v>8.6856152423840677E-2</v>
      </c>
      <c r="M13">
        <f>Returns!M13-Returns!$R13</f>
        <v>6.2476578198991967E-2</v>
      </c>
      <c r="N13">
        <f>Returns!N13-Returns!$R13</f>
        <v>1.1209998730147911E-2</v>
      </c>
      <c r="O13">
        <f>Returns!O13-Returns!$R13</f>
        <v>7.9495614048328916E-2</v>
      </c>
      <c r="P13">
        <f>Returns!P13-Returns!$R13</f>
        <v>6.949144412326011E-2</v>
      </c>
      <c r="Q13">
        <f>Returns!Q13-Returns!$R13</f>
        <v>4.3012624004315797E-2</v>
      </c>
    </row>
    <row r="14" spans="1:17" x14ac:dyDescent="0.3">
      <c r="A14" s="1">
        <f>Returns!A14</f>
        <v>44197</v>
      </c>
      <c r="B14">
        <f>Returns!B14-Returns!$R14</f>
        <v>4.1825062731860943E-2</v>
      </c>
      <c r="C14">
        <f>Returns!C14-Returns!$R14</f>
        <v>1.5041025051232849E-2</v>
      </c>
      <c r="D14">
        <f>Returns!D14-Returns!$R14</f>
        <v>1.0047710898820962E-2</v>
      </c>
      <c r="E14">
        <f>Returns!E14-Returns!$R14</f>
        <v>-2.5255582867372722E-3</v>
      </c>
      <c r="F14">
        <f>Returns!F14-Returns!$R14</f>
        <v>3.0448395237722036E-2</v>
      </c>
      <c r="G14">
        <f>Returns!G14-Returns!$R14</f>
        <v>-2.8024884601999134E-2</v>
      </c>
      <c r="H14">
        <f>Returns!H14-Returns!$R14</f>
        <v>2.4200177614336692E-2</v>
      </c>
      <c r="I14">
        <f>Returns!I14-Returns!$R14</f>
        <v>6.5761762944628393E-4</v>
      </c>
      <c r="J14">
        <f>Returns!J14-Returns!$R14</f>
        <v>9.1388839046261505E-3</v>
      </c>
      <c r="K14">
        <f>Returns!K14-Returns!$R14</f>
        <v>-1.3640654016140107E-2</v>
      </c>
      <c r="L14">
        <f>Returns!L14-Returns!$R14</f>
        <v>8.4946872282021371E-2</v>
      </c>
      <c r="M14">
        <f>Returns!M14-Returns!$R14</f>
        <v>-2.9723084219457675E-2</v>
      </c>
      <c r="N14">
        <f>Returns!N14-Returns!$R14</f>
        <v>3.8458929413983114E-2</v>
      </c>
      <c r="O14">
        <f>Returns!O14-Returns!$R14</f>
        <v>2.4343135201816978E-2</v>
      </c>
      <c r="P14">
        <f>Returns!P14-Returns!$R14</f>
        <v>2.600558667971432E-2</v>
      </c>
      <c r="Q14">
        <f>Returns!Q14-Returns!$R14</f>
        <v>1.3018812476780396E-2</v>
      </c>
    </row>
    <row r="15" spans="1:17" x14ac:dyDescent="0.3">
      <c r="A15" s="1">
        <f>Returns!A15</f>
        <v>44198</v>
      </c>
      <c r="B15">
        <f>Returns!B15-Returns!$R15</f>
        <v>-3.0253297792426814E-4</v>
      </c>
      <c r="C15">
        <f>Returns!C15-Returns!$R15</f>
        <v>2.2740163887257078E-2</v>
      </c>
      <c r="D15">
        <f>Returns!D15-Returns!$R15</f>
        <v>-4.7311619266492454E-3</v>
      </c>
      <c r="E15">
        <f>Returns!E15-Returns!$R15</f>
        <v>1.9339536487606553E-2</v>
      </c>
      <c r="F15">
        <f>Returns!F15-Returns!$R15</f>
        <v>2.0686090737121573E-2</v>
      </c>
      <c r="G15">
        <f>Returns!G15-Returns!$R15</f>
        <v>-1.1374516190582723E-2</v>
      </c>
      <c r="H15">
        <f>Returns!H15-Returns!$R15</f>
        <v>5.3740915627076237E-3</v>
      </c>
      <c r="I15">
        <f>Returns!I15-Returns!$R15</f>
        <v>-3.5532327405748861E-2</v>
      </c>
      <c r="J15">
        <f>Returns!J15-Returns!$R15</f>
        <v>4.8736586925187224E-2</v>
      </c>
      <c r="K15">
        <f>Returns!K15-Returns!$R15</f>
        <v>-2.7107839814644085E-3</v>
      </c>
      <c r="L15">
        <f>Returns!L15-Returns!$R15</f>
        <v>-2.9151803182690509E-2</v>
      </c>
      <c r="M15">
        <f>Returns!M15-Returns!$R15</f>
        <v>-1.2265920401467017E-2</v>
      </c>
      <c r="N15">
        <f>Returns!N15-Returns!$R15</f>
        <v>-2.8262580258031677E-3</v>
      </c>
      <c r="O15">
        <f>Returns!O15-Returns!$R15</f>
        <v>-9.544676395895518E-3</v>
      </c>
      <c r="P15">
        <f>Returns!P15-Returns!$R15</f>
        <v>4.0199785958064498E-2</v>
      </c>
      <c r="Q15">
        <f>Returns!Q15-Returns!$R15</f>
        <v>-4.9249546600294057E-3</v>
      </c>
    </row>
    <row r="16" spans="1:17" x14ac:dyDescent="0.3">
      <c r="A16" s="1">
        <f>Returns!A16</f>
        <v>44199</v>
      </c>
      <c r="B16">
        <f>Returns!B16-Returns!$R16</f>
        <v>-3.5090249754326265E-2</v>
      </c>
      <c r="C16">
        <f>Returns!C16-Returns!$R16</f>
        <v>2.0754240264210999E-4</v>
      </c>
      <c r="D16">
        <f>Returns!D16-Returns!$R16</f>
        <v>-1.6969282089640863E-2</v>
      </c>
      <c r="E16">
        <f>Returns!E16-Returns!$R16</f>
        <v>4.4086081335370196E-2</v>
      </c>
      <c r="F16">
        <f>Returns!F16-Returns!$R16</f>
        <v>-1.1602743198659263E-2</v>
      </c>
      <c r="G16">
        <f>Returns!G16-Returns!$R16</f>
        <v>-3.109359950841149E-2</v>
      </c>
      <c r="H16">
        <f>Returns!H16-Returns!$R16</f>
        <v>6.1423345371427594E-2</v>
      </c>
      <c r="I16">
        <f>Returns!I16-Returns!$R16</f>
        <v>-1.7949673051802378E-2</v>
      </c>
      <c r="J16">
        <f>Returns!J16-Returns!$R16</f>
        <v>4.1284159860074963E-2</v>
      </c>
      <c r="K16">
        <f>Returns!K16-Returns!$R16</f>
        <v>2.5437287777869595E-2</v>
      </c>
      <c r="L16">
        <f>Returns!L16-Returns!$R16</f>
        <v>5.2143324454120642E-2</v>
      </c>
      <c r="M16">
        <f>Returns!M16-Returns!$R16</f>
        <v>-3.0588880029651749E-2</v>
      </c>
      <c r="N16">
        <f>Returns!N16-Returns!$R16</f>
        <v>5.7201878208203074E-3</v>
      </c>
      <c r="O16">
        <f>Returns!O16-Returns!$R16</f>
        <v>7.3896067835768423E-2</v>
      </c>
      <c r="P16">
        <f>Returns!P16-Returns!$R16</f>
        <v>9.1701800225855737E-2</v>
      </c>
      <c r="Q16">
        <f>Returns!Q16-Returns!$R16</f>
        <v>1.1428302875884052E-2</v>
      </c>
    </row>
    <row r="17" spans="1:17" x14ac:dyDescent="0.3">
      <c r="A17" s="1">
        <f>Returns!A17</f>
        <v>44200</v>
      </c>
      <c r="B17">
        <f>Returns!B17-Returns!$R17</f>
        <v>-1.6826321094164771E-3</v>
      </c>
      <c r="C17">
        <f>Returns!C17-Returns!$R17</f>
        <v>3.3391441511270875E-3</v>
      </c>
      <c r="D17">
        <f>Returns!D17-Returns!$R17</f>
        <v>-2.7295311245060633E-3</v>
      </c>
      <c r="E17">
        <f>Returns!E17-Returns!$R17</f>
        <v>7.9065787891604167E-3</v>
      </c>
      <c r="F17">
        <f>Returns!F17-Returns!$R17</f>
        <v>1.7158252382022004E-3</v>
      </c>
      <c r="G17">
        <f>Returns!G17-Returns!$R17</f>
        <v>1.2758768171014916E-2</v>
      </c>
      <c r="H17">
        <f>Returns!H17-Returns!$R17</f>
        <v>5.4918188253441792E-3</v>
      </c>
      <c r="I17">
        <f>Returns!I17-Returns!$R17</f>
        <v>3.5146217942689864E-2</v>
      </c>
      <c r="J17">
        <f>Returns!J17-Returns!$R17</f>
        <v>1.9245924546438548E-2</v>
      </c>
      <c r="K17">
        <f>Returns!K17-Returns!$R17</f>
        <v>-1.1176285125765668E-2</v>
      </c>
      <c r="L17">
        <f>Returns!L17-Returns!$R17</f>
        <v>-1.6925420967883669E-2</v>
      </c>
      <c r="M17">
        <f>Returns!M17-Returns!$R17</f>
        <v>3.2329954527781382E-2</v>
      </c>
      <c r="N17">
        <f>Returns!N17-Returns!$R17</f>
        <v>-1.4047108800759584E-2</v>
      </c>
      <c r="O17">
        <f>Returns!O17-Returns!$R17</f>
        <v>3.732776677281742E-2</v>
      </c>
      <c r="P17">
        <f>Returns!P17-Returns!$R17</f>
        <v>-2.5218082694901506E-3</v>
      </c>
      <c r="Q17">
        <f>Returns!Q17-Returns!$R17</f>
        <v>1.5293708388150655E-2</v>
      </c>
    </row>
    <row r="18" spans="1:17" x14ac:dyDescent="0.3">
      <c r="A18" s="1">
        <f>Returns!A18</f>
        <v>44201</v>
      </c>
      <c r="B18">
        <f>Returns!B18-Returns!$R18</f>
        <v>2.712627349541737E-2</v>
      </c>
      <c r="C18">
        <f>Returns!C18-Returns!$R18</f>
        <v>2.5022858844033508E-2</v>
      </c>
      <c r="D18">
        <f>Returns!D18-Returns!$R18</f>
        <v>4.6951747222857741E-2</v>
      </c>
      <c r="E18">
        <f>Returns!E18-Returns!$R18</f>
        <v>5.1877947314209881E-2</v>
      </c>
      <c r="F18">
        <f>Returns!F18-Returns!$R18</f>
        <v>1.312758077255134E-3</v>
      </c>
      <c r="G18">
        <f>Returns!G18-Returns!$R18</f>
        <v>1.0468909462646409E-2</v>
      </c>
      <c r="H18">
        <f>Returns!H18-Returns!$R18</f>
        <v>7.0034358300192397E-3</v>
      </c>
      <c r="I18">
        <f>Returns!I18-Returns!$R18</f>
        <v>-4.6425709331164126E-3</v>
      </c>
      <c r="J18">
        <f>Returns!J18-Returns!$R18</f>
        <v>-5.0085145316447512E-2</v>
      </c>
      <c r="K18">
        <f>Returns!K18-Returns!$R18</f>
        <v>4.5909080363449616E-2</v>
      </c>
      <c r="L18">
        <f>Returns!L18-Returns!$R18</f>
        <v>1.5753347384567973E-3</v>
      </c>
      <c r="M18">
        <f>Returns!M18-Returns!$R18</f>
        <v>3.025318395854178E-2</v>
      </c>
      <c r="N18">
        <f>Returns!N18-Returns!$R18</f>
        <v>-1.5765317666104377E-2</v>
      </c>
      <c r="O18">
        <f>Returns!O18-Returns!$R18</f>
        <v>2.088724716554587E-2</v>
      </c>
      <c r="P18">
        <f>Returns!P18-Returns!$R18</f>
        <v>1.126556488492288E-2</v>
      </c>
      <c r="Q18">
        <f>Returns!Q18-Returns!$R18</f>
        <v>1.979382049055985E-2</v>
      </c>
    </row>
    <row r="19" spans="1:17" x14ac:dyDescent="0.3">
      <c r="A19" s="1">
        <f>Returns!A19</f>
        <v>44202</v>
      </c>
      <c r="B19">
        <f>Returns!B19-Returns!$R19</f>
        <v>-2.4784309754045136E-2</v>
      </c>
      <c r="C19">
        <f>Returns!C19-Returns!$R19</f>
        <v>-5.0017788665927274E-3</v>
      </c>
      <c r="D19">
        <f>Returns!D19-Returns!$R19</f>
        <v>-3.2444012369022751E-2</v>
      </c>
      <c r="E19">
        <f>Returns!E19-Returns!$R19</f>
        <v>4.5607185843618493E-4</v>
      </c>
      <c r="F19">
        <f>Returns!F19-Returns!$R19</f>
        <v>1.5781987429857341E-2</v>
      </c>
      <c r="G19">
        <f>Returns!G19-Returns!$R19</f>
        <v>6.4987033655861939E-3</v>
      </c>
      <c r="H19">
        <f>Returns!H19-Returns!$R19</f>
        <v>2.8589968298926433E-2</v>
      </c>
      <c r="I19">
        <f>Returns!I19-Returns!$R19</f>
        <v>4.3991040620644231E-3</v>
      </c>
      <c r="J19">
        <f>Returns!J19-Returns!$R19</f>
        <v>-3.0721547279083669E-3</v>
      </c>
      <c r="K19">
        <f>Returns!K19-Returns!$R19</f>
        <v>3.0281958247005386E-2</v>
      </c>
      <c r="L19">
        <f>Returns!L19-Returns!$R19</f>
        <v>-1.900121839685523E-2</v>
      </c>
      <c r="M19">
        <f>Returns!M19-Returns!$R19</f>
        <v>-2.3805284773081034E-3</v>
      </c>
      <c r="N19">
        <f>Returns!N19-Returns!$R19</f>
        <v>-8.6147320693667206E-3</v>
      </c>
      <c r="O19">
        <f>Returns!O19-Returns!$R19</f>
        <v>2.0291863789001136E-2</v>
      </c>
      <c r="P19">
        <f>Returns!P19-Returns!$R19</f>
        <v>9.6069812690652012E-3</v>
      </c>
      <c r="Q19">
        <f>Returns!Q19-Returns!$R19</f>
        <v>1.2682960126982605E-3</v>
      </c>
    </row>
    <row r="20" spans="1:17" x14ac:dyDescent="0.3">
      <c r="A20" s="1">
        <f>Returns!A20</f>
        <v>44203</v>
      </c>
      <c r="B20">
        <f>Returns!B20-Returns!$R20</f>
        <v>3.7162826774618123E-2</v>
      </c>
      <c r="C20">
        <f>Returns!C20-Returns!$R20</f>
        <v>2.9564498062806355E-2</v>
      </c>
      <c r="D20">
        <f>Returns!D20-Returns!$R20</f>
        <v>2.3775653212020232E-2</v>
      </c>
      <c r="E20">
        <f>Returns!E20-Returns!$R20</f>
        <v>9.7380557511775774E-3</v>
      </c>
      <c r="F20">
        <f>Returns!F20-Returns!$R20</f>
        <v>-1.5132891784163226E-2</v>
      </c>
      <c r="G20">
        <f>Returns!G20-Returns!$R20</f>
        <v>-6.6324885999610277E-3</v>
      </c>
      <c r="H20">
        <f>Returns!H20-Returns!$R20</f>
        <v>-2.7020024684841448E-2</v>
      </c>
      <c r="I20">
        <f>Returns!I20-Returns!$R20</f>
        <v>-2.2529098540159491E-3</v>
      </c>
      <c r="J20">
        <f>Returns!J20-Returns!$R20</f>
        <v>-1.2402833006854085E-2</v>
      </c>
      <c r="K20">
        <f>Returns!K20-Returns!$R20</f>
        <v>9.1356221951795699E-2</v>
      </c>
      <c r="L20">
        <f>Returns!L20-Returns!$R20</f>
        <v>-1.2900812365103664E-2</v>
      </c>
      <c r="M20">
        <f>Returns!M20-Returns!$R20</f>
        <v>1.4576243638532058E-3</v>
      </c>
      <c r="N20">
        <f>Returns!N20-Returns!$R20</f>
        <v>1.7207440572900013E-2</v>
      </c>
      <c r="O20">
        <f>Returns!O20-Returns!$R20</f>
        <v>-1.5387629282121239E-2</v>
      </c>
      <c r="P20">
        <f>Returns!P20-Returns!$R20</f>
        <v>3.316169244565758E-2</v>
      </c>
      <c r="Q20">
        <f>Returns!Q20-Returns!$R20</f>
        <v>7.4880137506699758E-3</v>
      </c>
    </row>
    <row r="21" spans="1:17" x14ac:dyDescent="0.3">
      <c r="A21" s="1">
        <f>Returns!A21</f>
        <v>44204</v>
      </c>
      <c r="B21">
        <f>Returns!B21-Returns!$R21</f>
        <v>2.8905034802389699E-2</v>
      </c>
      <c r="C21">
        <f>Returns!C21-Returns!$R21</f>
        <v>2.5109690668826949E-2</v>
      </c>
      <c r="D21">
        <f>Returns!D21-Returns!$R21</f>
        <v>-1.1509278823191534E-2</v>
      </c>
      <c r="E21">
        <f>Returns!E21-Returns!$R21</f>
        <v>4.4291026210156008E-2</v>
      </c>
      <c r="F21">
        <f>Returns!F21-Returns!$R21</f>
        <v>1.8847835051305377E-2</v>
      </c>
      <c r="G21">
        <f>Returns!G21-Returns!$R21</f>
        <v>6.3856617337200092E-3</v>
      </c>
      <c r="H21">
        <f>Returns!H21-Returns!$R21</f>
        <v>-1.2985191136990822E-2</v>
      </c>
      <c r="I21">
        <f>Returns!I21-Returns!$R21</f>
        <v>1.8802794228161772E-2</v>
      </c>
      <c r="J21">
        <f>Returns!J21-Returns!$R21</f>
        <v>-1.7948381415096588E-2</v>
      </c>
      <c r="K21">
        <f>Returns!K21-Returns!$R21</f>
        <v>-1.0444215393728203E-2</v>
      </c>
      <c r="L21">
        <f>Returns!L21-Returns!$R21</f>
        <v>3.5402953367119562E-3</v>
      </c>
      <c r="M21">
        <f>Returns!M21-Returns!$R21</f>
        <v>4.246765813883268E-2</v>
      </c>
      <c r="N21">
        <f>Returns!N21-Returns!$R21</f>
        <v>-6.6372858366340395E-3</v>
      </c>
      <c r="O21">
        <f>Returns!O21-Returns!$R21</f>
        <v>-3.5410981184275887E-2</v>
      </c>
      <c r="P21">
        <f>Returns!P21-Returns!$R21</f>
        <v>-4.9434890101224156E-2</v>
      </c>
      <c r="Q21">
        <f>Returns!Q21-Returns!$R21</f>
        <v>9.5204087272103763E-3</v>
      </c>
    </row>
    <row r="22" spans="1:17" x14ac:dyDescent="0.3">
      <c r="A22" s="1">
        <f>Returns!A22</f>
        <v>44205</v>
      </c>
      <c r="B22">
        <f>Returns!B22-Returns!$R22</f>
        <v>1.7644545630266226E-2</v>
      </c>
      <c r="C22">
        <f>Returns!C22-Returns!$R22</f>
        <v>2.320223714058238E-2</v>
      </c>
      <c r="D22">
        <f>Returns!D22-Returns!$R22</f>
        <v>1.7045891468546223E-2</v>
      </c>
      <c r="E22">
        <f>Returns!E22-Returns!$R22</f>
        <v>2.9506699005356005E-2</v>
      </c>
      <c r="F22">
        <f>Returns!F22-Returns!$R22</f>
        <v>-6.023675838114171E-5</v>
      </c>
      <c r="G22">
        <f>Returns!G22-Returns!$R22</f>
        <v>1.3036974418153921E-2</v>
      </c>
      <c r="H22">
        <f>Returns!H22-Returns!$R22</f>
        <v>2.1645765230583855E-2</v>
      </c>
      <c r="I22">
        <f>Returns!I22-Returns!$R22</f>
        <v>5.7044332874205041E-4</v>
      </c>
      <c r="J22">
        <f>Returns!J22-Returns!$R22</f>
        <v>-1.7746020532756566E-4</v>
      </c>
      <c r="K22">
        <f>Returns!K22-Returns!$R22</f>
        <v>5.6381562607372634E-2</v>
      </c>
      <c r="L22">
        <f>Returns!L22-Returns!$R22</f>
        <v>1.0321529270351057E-2</v>
      </c>
      <c r="M22">
        <f>Returns!M22-Returns!$R22</f>
        <v>2.6918399226514664E-2</v>
      </c>
      <c r="N22">
        <f>Returns!N22-Returns!$R22</f>
        <v>3.880324187994659E-2</v>
      </c>
      <c r="O22">
        <f>Returns!O22-Returns!$R22</f>
        <v>3.5183588785423422E-2</v>
      </c>
      <c r="P22">
        <f>Returns!P22-Returns!$R22</f>
        <v>-2.487018672836834E-2</v>
      </c>
      <c r="Q22">
        <f>Returns!Q22-Returns!$R22</f>
        <v>1.071222143088961E-2</v>
      </c>
    </row>
    <row r="23" spans="1:17" x14ac:dyDescent="0.3">
      <c r="A23" s="1">
        <f>Returns!A23</f>
        <v>44206</v>
      </c>
      <c r="B23">
        <f>Returns!B23-Returns!$R23</f>
        <v>-3.3542884320695333E-2</v>
      </c>
      <c r="C23">
        <f>Returns!C23-Returns!$R23</f>
        <v>-3.2139049047148295E-2</v>
      </c>
      <c r="D23">
        <f>Returns!D23-Returns!$R23</f>
        <v>-2.7873904748044777E-2</v>
      </c>
      <c r="E23">
        <f>Returns!E23-Returns!$R23</f>
        <v>-3.4123862342321044E-2</v>
      </c>
      <c r="F23">
        <f>Returns!F23-Returns!$R23</f>
        <v>-3.0858466867904423E-2</v>
      </c>
      <c r="G23">
        <f>Returns!G23-Returns!$R23</f>
        <v>-2.6488353106098907E-2</v>
      </c>
      <c r="H23">
        <f>Returns!H23-Returns!$R23</f>
        <v>8.8104539805475487E-3</v>
      </c>
      <c r="I23">
        <f>Returns!I23-Returns!$R23</f>
        <v>-8.7022818895985746E-3</v>
      </c>
      <c r="J23">
        <f>Returns!J23-Returns!$R23</f>
        <v>-5.0244742972785144E-3</v>
      </c>
      <c r="K23">
        <f>Returns!K23-Returns!$R23</f>
        <v>-3.6288021054187415E-2</v>
      </c>
      <c r="L23">
        <f>Returns!L23-Returns!$R23</f>
        <v>-2.5057731734021517E-2</v>
      </c>
      <c r="M23">
        <f>Returns!M23-Returns!$R23</f>
        <v>-3.7271373061954084E-2</v>
      </c>
      <c r="N23">
        <f>Returns!N23-Returns!$R23</f>
        <v>2.4751787875523866E-2</v>
      </c>
      <c r="O23">
        <f>Returns!O23-Returns!$R23</f>
        <v>6.2113615871250633E-3</v>
      </c>
      <c r="P23">
        <f>Returns!P23-Returns!$R23</f>
        <v>3.6226077805911326E-2</v>
      </c>
      <c r="Q23">
        <f>Returns!Q23-Returns!$R23</f>
        <v>-2.210166402651418E-2</v>
      </c>
    </row>
    <row r="24" spans="1:17" x14ac:dyDescent="0.3">
      <c r="A24" s="1">
        <f>Returns!A24</f>
        <v>44207</v>
      </c>
      <c r="B24">
        <f>Returns!B24-Returns!$R24</f>
        <v>1.9874724695995018E-2</v>
      </c>
      <c r="C24">
        <f>Returns!C24-Returns!$R24</f>
        <v>6.8566206376813182E-2</v>
      </c>
      <c r="D24">
        <f>Returns!D24-Returns!$R24</f>
        <v>8.2079993685569529E-3</v>
      </c>
      <c r="E24">
        <f>Returns!E24-Returns!$R24</f>
        <v>4.0547605165997501E-2</v>
      </c>
      <c r="F24">
        <f>Returns!F24-Returns!$R24</f>
        <v>3.0605035723719433E-3</v>
      </c>
      <c r="G24">
        <f>Returns!G24-Returns!$R24</f>
        <v>3.0878000632691274E-2</v>
      </c>
      <c r="H24">
        <f>Returns!H24-Returns!$R24</f>
        <v>1.9485585834356191E-2</v>
      </c>
      <c r="I24">
        <f>Returns!I24-Returns!$R24</f>
        <v>9.217158185676224E-3</v>
      </c>
      <c r="J24">
        <f>Returns!J24-Returns!$R24</f>
        <v>-3.7142777378322979E-2</v>
      </c>
      <c r="K24">
        <f>Returns!K24-Returns!$R24</f>
        <v>9.0769268399723518E-2</v>
      </c>
      <c r="L24">
        <f>Returns!L24-Returns!$R24</f>
        <v>-9.108837623453523E-3</v>
      </c>
      <c r="M24">
        <f>Returns!M24-Returns!$R24</f>
        <v>1.4939072974377101E-2</v>
      </c>
      <c r="N24">
        <f>Returns!N24-Returns!$R24</f>
        <v>5.5801528977426816E-2</v>
      </c>
      <c r="O24">
        <f>Returns!O24-Returns!$R24</f>
        <v>5.2660568300419174E-2</v>
      </c>
      <c r="P24">
        <f>Returns!P24-Returns!$R24</f>
        <v>3.8221254357168798E-2</v>
      </c>
      <c r="Q24">
        <f>Returns!Q24-Returns!$R24</f>
        <v>2.7261185314131433E-2</v>
      </c>
    </row>
    <row r="25" spans="1:17" x14ac:dyDescent="0.3">
      <c r="A25" s="1">
        <f>Returns!A25</f>
        <v>44208</v>
      </c>
      <c r="B25">
        <f>Returns!B25-Returns!$R25</f>
        <v>4.9580832065723869E-2</v>
      </c>
      <c r="C25">
        <f>Returns!C25-Returns!$R25</f>
        <v>3.6882249826575603E-3</v>
      </c>
      <c r="D25">
        <f>Returns!D25-Returns!$R25</f>
        <v>2.1819366667873461E-2</v>
      </c>
      <c r="E25">
        <f>Returns!E25-Returns!$R25</f>
        <v>-1.3270919630068181E-2</v>
      </c>
      <c r="F25">
        <f>Returns!F25-Returns!$R25</f>
        <v>-1.8271115985329458E-2</v>
      </c>
      <c r="G25">
        <f>Returns!G25-Returns!$R25</f>
        <v>-2.9491250352264822E-2</v>
      </c>
      <c r="H25">
        <f>Returns!H25-Returns!$R25</f>
        <v>-3.0028557850204609E-2</v>
      </c>
      <c r="I25">
        <f>Returns!I25-Returns!$R25</f>
        <v>3.2655072217309439E-3</v>
      </c>
      <c r="J25">
        <f>Returns!J25-Returns!$R25</f>
        <v>2.6260847274664251E-3</v>
      </c>
      <c r="K25">
        <f>Returns!K25-Returns!$R25</f>
        <v>0.11108725866754068</v>
      </c>
      <c r="L25">
        <f>Returns!L25-Returns!$R25</f>
        <v>-6.3220911623826676E-2</v>
      </c>
      <c r="M25">
        <f>Returns!M25-Returns!$R25</f>
        <v>7.3853735372702706E-2</v>
      </c>
      <c r="N25">
        <f>Returns!N25-Returns!$R25</f>
        <v>-2.6928094505641788E-2</v>
      </c>
      <c r="O25">
        <f>Returns!O25-Returns!$R25</f>
        <v>-2.8039518364490781E-2</v>
      </c>
      <c r="P25">
        <f>Returns!P25-Returns!$R25</f>
        <v>-2.9988514100980326E-2</v>
      </c>
      <c r="Q25">
        <f>Returns!Q25-Returns!$R25</f>
        <v>-1.9603383249109057E-3</v>
      </c>
    </row>
    <row r="26" spans="1:17" x14ac:dyDescent="0.3">
      <c r="A26" s="1">
        <f>Returns!A26</f>
        <v>44562</v>
      </c>
      <c r="B26">
        <f>Returns!B26-Returns!$R26</f>
        <v>2.457540960103605E-2</v>
      </c>
      <c r="C26">
        <f>Returns!C26-Returns!$R26</f>
        <v>-1.1816625220310523E-3</v>
      </c>
      <c r="D26">
        <f>Returns!D26-Returns!$R26</f>
        <v>-2.5908478350480543E-2</v>
      </c>
      <c r="E26">
        <f>Returns!E26-Returns!$R26</f>
        <v>1.6885743767665656E-3</v>
      </c>
      <c r="F26">
        <f>Returns!F26-Returns!$R26</f>
        <v>3.3950824387160079E-2</v>
      </c>
      <c r="G26">
        <f>Returns!G26-Returns!$R26</f>
        <v>9.1576843085950429E-3</v>
      </c>
      <c r="H26">
        <f>Returns!H26-Returns!$R26</f>
        <v>-4.5527340646579987E-3</v>
      </c>
      <c r="I26">
        <f>Returns!I26-Returns!$R26</f>
        <v>4.6297994830969476E-2</v>
      </c>
      <c r="J26">
        <f>Returns!J26-Returns!$R26</f>
        <v>1.4025625537859526E-2</v>
      </c>
      <c r="K26">
        <f>Returns!K26-Returns!$R26</f>
        <v>-4.8358655665066523E-2</v>
      </c>
      <c r="L26">
        <f>Returns!L26-Returns!$R26</f>
        <v>2.4754290158030493E-2</v>
      </c>
      <c r="M26">
        <f>Returns!M26-Returns!$R26</f>
        <v>4.5778135217174727E-2</v>
      </c>
      <c r="N26">
        <f>Returns!N26-Returns!$R26</f>
        <v>-3.1859955583697079E-2</v>
      </c>
      <c r="O26">
        <f>Returns!O26-Returns!$R26</f>
        <v>-2.7169893694369233E-3</v>
      </c>
      <c r="P26">
        <f>Returns!P26-Returns!$R26</f>
        <v>9.5122272668130502E-4</v>
      </c>
      <c r="Q26">
        <f>Returns!Q26-Returns!$R26</f>
        <v>1.476821230128939E-2</v>
      </c>
    </row>
    <row r="27" spans="1:17" x14ac:dyDescent="0.3">
      <c r="A27" s="1">
        <f>Returns!A27</f>
        <v>44563</v>
      </c>
      <c r="B27">
        <f>Returns!B27-Returns!$R27</f>
        <v>-1.1039154801844819E-2</v>
      </c>
      <c r="C27">
        <f>Returns!C27-Returns!$R27</f>
        <v>-3.517094020328794E-2</v>
      </c>
      <c r="D27">
        <f>Returns!D27-Returns!$R27</f>
        <v>-4.9661506448942197E-2</v>
      </c>
      <c r="E27">
        <f>Returns!E27-Returns!$R27</f>
        <v>-2.4539195818433678E-2</v>
      </c>
      <c r="F27">
        <f>Returns!F27-Returns!$R27</f>
        <v>2.2780535158149935E-3</v>
      </c>
      <c r="G27">
        <f>Returns!G27-Returns!$R27</f>
        <v>-1.6331590154039632E-2</v>
      </c>
      <c r="H27">
        <f>Returns!H27-Returns!$R27</f>
        <v>-3.306638051219081E-2</v>
      </c>
      <c r="I27">
        <f>Returns!I27-Returns!$R27</f>
        <v>-4.0324591614674492E-3</v>
      </c>
      <c r="J27">
        <f>Returns!J27-Returns!$R27</f>
        <v>-2.6525903597406485E-2</v>
      </c>
      <c r="K27">
        <f>Returns!K27-Returns!$R27</f>
        <v>-7.6442250969270945E-2</v>
      </c>
      <c r="L27">
        <f>Returns!L27-Returns!$R27</f>
        <v>-3.8862630296461989E-2</v>
      </c>
      <c r="M27">
        <f>Returns!M27-Returns!$R27</f>
        <v>-4.6624073958098214E-2</v>
      </c>
      <c r="N27">
        <f>Returns!N27-Returns!$R27</f>
        <v>-0.14730630347198426</v>
      </c>
      <c r="O27">
        <f>Returns!O27-Returns!$R27</f>
        <v>9.0473998788010886E-3</v>
      </c>
      <c r="P27">
        <f>Returns!P27-Returns!$R27</f>
        <v>9.4733974388782158E-2</v>
      </c>
      <c r="Q27">
        <f>Returns!Q27-Returns!$R27</f>
        <v>-2.5770086586667584E-2</v>
      </c>
    </row>
    <row r="28" spans="1:17" x14ac:dyDescent="0.3">
      <c r="A28" s="1">
        <f>Returns!A28</f>
        <v>44564</v>
      </c>
      <c r="B28">
        <f>Returns!B28-Returns!$R28</f>
        <v>-2.5655607848629775E-2</v>
      </c>
      <c r="C28">
        <f>Returns!C28-Returns!$R28</f>
        <v>-2.1832504499425337E-2</v>
      </c>
      <c r="D28">
        <f>Returns!D28-Returns!$R28</f>
        <v>6.0580927013192667E-3</v>
      </c>
      <c r="E28">
        <f>Returns!E28-Returns!$R28</f>
        <v>-1.0414313372915681E-2</v>
      </c>
      <c r="F28">
        <f>Returns!F28-Returns!$R28</f>
        <v>-2.4352291900351514E-2</v>
      </c>
      <c r="G28">
        <f>Returns!G28-Returns!$R28</f>
        <v>-1.22906598719236E-2</v>
      </c>
      <c r="H28">
        <f>Returns!H28-Returns!$R28</f>
        <v>-2.780465936200574E-2</v>
      </c>
      <c r="I28">
        <f>Returns!I28-Returns!$R28</f>
        <v>-1.9639963947854749E-2</v>
      </c>
      <c r="J28">
        <f>Returns!J28-Returns!$R28</f>
        <v>-1.2868578199404819E-2</v>
      </c>
      <c r="K28">
        <f>Returns!K28-Returns!$R28</f>
        <v>-1.6021206675907701E-2</v>
      </c>
      <c r="L28">
        <f>Returns!L28-Returns!$R28</f>
        <v>1.2678928156647588E-2</v>
      </c>
      <c r="M28">
        <f>Returns!M28-Returns!$R28</f>
        <v>-5.4691251526609724E-2</v>
      </c>
      <c r="N28">
        <f>Returns!N28-Returns!$R28</f>
        <v>-4.542021322226511E-2</v>
      </c>
      <c r="O28">
        <f>Returns!O28-Returns!$R28</f>
        <v>-2.5930162029052545E-2</v>
      </c>
      <c r="P28">
        <f>Returns!P28-Returns!$R28</f>
        <v>1.1208355720977529E-2</v>
      </c>
      <c r="Q28">
        <f>Returns!Q28-Returns!$R28</f>
        <v>-1.7072968810381589E-2</v>
      </c>
    </row>
    <row r="29" spans="1:17" x14ac:dyDescent="0.3">
      <c r="A29" s="1">
        <f>Returns!A29</f>
        <v>44565</v>
      </c>
      <c r="B29">
        <f>Returns!B29-Returns!$R29</f>
        <v>2.1638854350838479E-2</v>
      </c>
      <c r="C29">
        <f>Returns!C29-Returns!$R29</f>
        <v>1.6308331346250118E-2</v>
      </c>
      <c r="D29">
        <f>Returns!D29-Returns!$R29</f>
        <v>2.9024868641691761E-2</v>
      </c>
      <c r="E29">
        <f>Returns!E29-Returns!$R29</f>
        <v>1.2334983662282497E-2</v>
      </c>
      <c r="F29">
        <f>Returns!F29-Returns!$R29</f>
        <v>3.3510097765112296E-2</v>
      </c>
      <c r="G29">
        <f>Returns!G29-Returns!$R29</f>
        <v>3.9719516589557774E-2</v>
      </c>
      <c r="H29">
        <f>Returns!H29-Returns!$R29</f>
        <v>-1.0557036036129872E-2</v>
      </c>
      <c r="I29">
        <f>Returns!I29-Returns!$R29</f>
        <v>-4.520776200679452E-3</v>
      </c>
      <c r="J29">
        <f>Returns!J29-Returns!$R29</f>
        <v>1.8140043112228856E-2</v>
      </c>
      <c r="K29">
        <f>Returns!K29-Returns!$R29</f>
        <v>4.9714262326174069E-2</v>
      </c>
      <c r="L29">
        <f>Returns!L29-Returns!$R29</f>
        <v>-3.4345325469978455E-2</v>
      </c>
      <c r="M29">
        <f>Returns!M29-Returns!$R29</f>
        <v>4.548886644307451E-2</v>
      </c>
      <c r="N29">
        <f>Returns!N29-Returns!$R29</f>
        <v>-1.9023455676927179E-2</v>
      </c>
      <c r="O29">
        <f>Returns!O29-Returns!$R29</f>
        <v>-2.2840578030021905E-2</v>
      </c>
      <c r="P29">
        <f>Returns!P29-Returns!$R29</f>
        <v>1.5108374276339955E-2</v>
      </c>
      <c r="Q29">
        <f>Returns!Q29-Returns!$R29</f>
        <v>1.4995647766336575E-2</v>
      </c>
    </row>
    <row r="30" spans="1:17" x14ac:dyDescent="0.3">
      <c r="A30" s="1">
        <f>Returns!A30</f>
        <v>44566</v>
      </c>
      <c r="B30">
        <f>Returns!B30-Returns!$R30</f>
        <v>-4.7944076242069908E-2</v>
      </c>
      <c r="C30">
        <f>Returns!C30-Returns!$R30</f>
        <v>-4.9303345537926965E-2</v>
      </c>
      <c r="D30">
        <f>Returns!D30-Returns!$R30</f>
        <v>-0.12987613592248309</v>
      </c>
      <c r="E30">
        <f>Returns!E30-Returns!$R30</f>
        <v>-9.2377819719395113E-2</v>
      </c>
      <c r="F30">
        <f>Returns!F30-Returns!$R30</f>
        <v>5.892420573369095E-3</v>
      </c>
      <c r="G30">
        <f>Returns!G30-Returns!$R30</f>
        <v>1.2640155249791073E-2</v>
      </c>
      <c r="H30">
        <f>Returns!H30-Returns!$R30</f>
        <v>-6.1656665116591444E-2</v>
      </c>
      <c r="I30">
        <f>Returns!I30-Returns!$R30</f>
        <v>1.985972804448528E-2</v>
      </c>
      <c r="J30">
        <f>Returns!J30-Returns!$R30</f>
        <v>-5.9227400560058527E-2</v>
      </c>
      <c r="K30">
        <f>Returns!K30-Returns!$R30</f>
        <v>-0.17174038065615965</v>
      </c>
      <c r="L30">
        <f>Returns!L30-Returns!$R30</f>
        <v>-9.2121657912481211E-2</v>
      </c>
      <c r="M30">
        <f>Returns!M30-Returns!$R30</f>
        <v>-4.1084826975033614E-2</v>
      </c>
      <c r="N30">
        <f>Returns!N30-Returns!$R30</f>
        <v>-0.29590544790944379</v>
      </c>
      <c r="O30">
        <f>Returns!O30-Returns!$R30</f>
        <v>-6.5784299670395383E-2</v>
      </c>
      <c r="P30">
        <f>Returns!P30-Returns!$R30</f>
        <v>1.3292463098499917E-2</v>
      </c>
      <c r="Q30">
        <f>Returns!Q30-Returns!$R30</f>
        <v>-4.3488937400246883E-2</v>
      </c>
    </row>
    <row r="31" spans="1:17" x14ac:dyDescent="0.3">
      <c r="A31" s="1">
        <f>Returns!A31</f>
        <v>44567</v>
      </c>
      <c r="B31">
        <f>Returns!B31-Returns!$R31</f>
        <v>-2.191174443024364E-2</v>
      </c>
      <c r="C31">
        <f>Returns!C31-Returns!$R31</f>
        <v>-6.5755368883541714E-3</v>
      </c>
      <c r="D31">
        <f>Returns!D31-Returns!$R31</f>
        <v>-3.1136930224479717E-3</v>
      </c>
      <c r="E31">
        <f>Returns!E31-Returns!$R31</f>
        <v>2.9390907215931963E-3</v>
      </c>
      <c r="F31">
        <f>Returns!F31-Returns!$R31</f>
        <v>-5.8048724987031612E-3</v>
      </c>
      <c r="G31">
        <f>Returns!G31-Returns!$R31</f>
        <v>-8.3938918125736797E-2</v>
      </c>
      <c r="H31">
        <f>Returns!H31-Returns!$R31</f>
        <v>4.2063534064147576E-2</v>
      </c>
      <c r="I31">
        <f>Returns!I31-Returns!$R31</f>
        <v>-4.0796307710276383E-2</v>
      </c>
      <c r="J31">
        <f>Returns!J31-Returns!$R31</f>
        <v>7.6902744391132323E-3</v>
      </c>
      <c r="K31">
        <f>Returns!K31-Returns!$R31</f>
        <v>1.5794479269415798E-3</v>
      </c>
      <c r="L31">
        <f>Returns!L31-Returns!$R31</f>
        <v>-1.4519212468117712E-3</v>
      </c>
      <c r="M31">
        <f>Returns!M31-Returns!$R31</f>
        <v>4.5366698711928596E-2</v>
      </c>
      <c r="N31">
        <f>Returns!N31-Returns!$R31</f>
        <v>1.2959087565085837E-2</v>
      </c>
      <c r="O31">
        <f>Returns!O31-Returns!$R31</f>
        <v>1.4286844249983322E-2</v>
      </c>
      <c r="P31">
        <f>Returns!P31-Returns!$R31</f>
        <v>5.477458744588852E-2</v>
      </c>
      <c r="Q31">
        <f>Returns!Q31-Returns!$R31</f>
        <v>-6.0578551441787783E-4</v>
      </c>
    </row>
    <row r="32" spans="1:17" x14ac:dyDescent="0.3">
      <c r="A32" s="1">
        <f>Returns!A32</f>
        <v>44568</v>
      </c>
      <c r="B32">
        <f>Returns!B32-Returns!$R32</f>
        <v>-4.4551676254261416E-2</v>
      </c>
      <c r="C32">
        <f>Returns!C32-Returns!$R32</f>
        <v>-3.3148232539782871E-2</v>
      </c>
      <c r="D32">
        <f>Returns!D32-Returns!$R32</f>
        <v>-6.320865106758837E-2</v>
      </c>
      <c r="E32">
        <f>Returns!E32-Returns!$R32</f>
        <v>-2.9443301551189616E-2</v>
      </c>
      <c r="F32">
        <f>Returns!F32-Returns!$R32</f>
        <v>-6.5574754851841941E-3</v>
      </c>
      <c r="G32">
        <f>Returns!G32-Returns!$R32</f>
        <v>-2.5104191133149035E-2</v>
      </c>
      <c r="H32">
        <f>Returns!H32-Returns!$R32</f>
        <v>-7.4112405611238483E-2</v>
      </c>
      <c r="I32">
        <f>Returns!I32-Returns!$R32</f>
        <v>-1.3592668347278614E-2</v>
      </c>
      <c r="J32">
        <f>Returns!J32-Returns!$R32</f>
        <v>-8.4146927721501605E-2</v>
      </c>
      <c r="K32">
        <f>Returns!K32-Returns!$R32</f>
        <v>-0.10153624265647913</v>
      </c>
      <c r="L32">
        <f>Returns!L32-Returns!$R32</f>
        <v>-7.7438186455867461E-2</v>
      </c>
      <c r="M32">
        <f>Returns!M32-Returns!$R32</f>
        <v>-1.2398990887893358E-2</v>
      </c>
      <c r="N32">
        <f>Returns!N32-Returns!$R32</f>
        <v>-5.3869824052640444E-2</v>
      </c>
      <c r="O32">
        <f>Returns!O32-Returns!$R32</f>
        <v>-8.4903026282698121E-2</v>
      </c>
      <c r="P32">
        <f>Returns!P32-Returns!$R32</f>
        <v>-5.1058519143968459E-2</v>
      </c>
      <c r="Q32">
        <f>Returns!Q32-Returns!$R32</f>
        <v>-4.2835062565953638E-2</v>
      </c>
    </row>
    <row r="33" spans="1:17" x14ac:dyDescent="0.3">
      <c r="A33" s="1">
        <f>Returns!A33</f>
        <v>44569</v>
      </c>
      <c r="B33">
        <f>Returns!B33-Returns!$R33</f>
        <v>7.0869560079346611E-2</v>
      </c>
      <c r="C33">
        <f>Returns!C33-Returns!$R33</f>
        <v>3.2545757956690645E-2</v>
      </c>
      <c r="D33">
        <f>Returns!D33-Returns!$R33</f>
        <v>0.10139599586156275</v>
      </c>
      <c r="E33">
        <f>Returns!E33-Returns!$R33</f>
        <v>2.6370463567407652E-2</v>
      </c>
      <c r="F33">
        <f>Returns!F33-Returns!$R33</f>
        <v>-1.04193185102747E-2</v>
      </c>
      <c r="G33">
        <f>Returns!G33-Returns!$R33</f>
        <v>2.9004828112814872E-2</v>
      </c>
      <c r="H33">
        <f>Returns!H33-Returns!$R33</f>
        <v>4.7576239493905773E-3</v>
      </c>
      <c r="I33">
        <f>Returns!I33-Returns!$R33</f>
        <v>-2.045460903834987E-2</v>
      </c>
      <c r="J33">
        <f>Returns!J33-Returns!$R33</f>
        <v>-1.4668230939828863E-2</v>
      </c>
      <c r="K33">
        <f>Returns!K33-Returns!$R33</f>
        <v>8.4090943807007962E-2</v>
      </c>
      <c r="L33">
        <f>Returns!L33-Returns!$R33</f>
        <v>4.4099323894648844E-2</v>
      </c>
      <c r="M33">
        <f>Returns!M33-Returns!$R33</f>
        <v>-1.6913322119002906E-2</v>
      </c>
      <c r="N33">
        <f>Returns!N33-Returns!$R33</f>
        <v>9.9438193893329613E-2</v>
      </c>
      <c r="O33">
        <f>Returns!O33-Returns!$R33</f>
        <v>3.3199629013598374E-2</v>
      </c>
      <c r="P33">
        <f>Returns!P33-Returns!$R33</f>
        <v>3.6226438788050951E-2</v>
      </c>
      <c r="Q33">
        <f>Returns!Q33-Returns!$R33</f>
        <v>3.4169894321366266E-2</v>
      </c>
    </row>
    <row r="34" spans="1:17" x14ac:dyDescent="0.3">
      <c r="A34" s="1">
        <f>Returns!A34</f>
        <v>44570</v>
      </c>
      <c r="B34">
        <f>Returns!B34-Returns!$R34</f>
        <v>-1.4883508880968555E-2</v>
      </c>
      <c r="C34">
        <f>Returns!C34-Returns!$R34</f>
        <v>-3.3615116602004995E-2</v>
      </c>
      <c r="D34">
        <f>Returns!D34-Returns!$R34</f>
        <v>-3.2767857796839432E-2</v>
      </c>
      <c r="E34">
        <f>Returns!E34-Returns!$R34</f>
        <v>-3.0214393529563444E-2</v>
      </c>
      <c r="F34">
        <f>Returns!F34-Returns!$R34</f>
        <v>-3.5761050637986506E-2</v>
      </c>
      <c r="G34">
        <f>Returns!G34-Returns!$R34</f>
        <v>1.9103334925142479E-3</v>
      </c>
      <c r="H34">
        <f>Returns!H34-Returns!$R34</f>
        <v>-7.5472432128081864E-3</v>
      </c>
      <c r="I34">
        <f>Returns!I34-Returns!$R34</f>
        <v>-4.537348523620522E-3</v>
      </c>
      <c r="J34">
        <f>Returns!J34-Returns!$R34</f>
        <v>-6.0564020496563946E-2</v>
      </c>
      <c r="K34">
        <f>Returns!K34-Returns!$R34</f>
        <v>-0.10993313429181227</v>
      </c>
      <c r="L34">
        <f>Returns!L34-Returns!$R34</f>
        <v>2.4818354815064791E-2</v>
      </c>
      <c r="M34">
        <f>Returns!M34-Returns!$R34</f>
        <v>-5.0112411028802588E-2</v>
      </c>
      <c r="N34">
        <f>Returns!N34-Returns!$R34</f>
        <v>-7.63057045551584E-3</v>
      </c>
      <c r="O34">
        <f>Returns!O34-Returns!$R34</f>
        <v>-6.5654469447989812E-3</v>
      </c>
      <c r="P34">
        <f>Returns!P34-Returns!$R34</f>
        <v>-4.6318605055578506E-3</v>
      </c>
      <c r="Q34">
        <f>Returns!Q34-Returns!$R34</f>
        <v>-2.1890941890150607E-2</v>
      </c>
    </row>
    <row r="35" spans="1:17" x14ac:dyDescent="0.3">
      <c r="A35" s="1">
        <f>Returns!A35</f>
        <v>44571</v>
      </c>
      <c r="B35">
        <f>Returns!B35-Returns!$R35</f>
        <v>-5.7679874153387302E-2</v>
      </c>
      <c r="C35">
        <f>Returns!C35-Returns!$R35</f>
        <v>-4.4573483046602948E-2</v>
      </c>
      <c r="D35">
        <f>Returns!D35-Returns!$R35</f>
        <v>-4.8385347436789274E-2</v>
      </c>
      <c r="E35">
        <f>Returns!E35-Returns!$R35</f>
        <v>-5.2169054075293299E-2</v>
      </c>
      <c r="F35">
        <f>Returns!F35-Returns!$R35</f>
        <v>4.1488284108321628E-3</v>
      </c>
      <c r="G35">
        <f>Returns!G35-Returns!$R35</f>
        <v>-1.0952592363382894E-2</v>
      </c>
      <c r="H35">
        <f>Returns!H35-Returns!$R35</f>
        <v>-3.3762080310622479E-2</v>
      </c>
      <c r="I35">
        <f>Returns!I35-Returns!$R35</f>
        <v>-3.8002631810245581E-2</v>
      </c>
      <c r="J35">
        <f>Returns!J35-Returns!$R35</f>
        <v>-8.2140389452815904E-2</v>
      </c>
      <c r="K35">
        <f>Returns!K35-Returns!$R35</f>
        <v>-6.4243786998451818E-2</v>
      </c>
      <c r="L35">
        <f>Returns!L35-Returns!$R35</f>
        <v>-7.0671563906233664E-2</v>
      </c>
      <c r="M35">
        <f>Returns!M35-Returns!$R35</f>
        <v>-1.3735170898490998E-2</v>
      </c>
      <c r="N35">
        <f>Returns!N35-Returns!$R35</f>
        <v>2.9092850454351029E-2</v>
      </c>
      <c r="O35">
        <f>Returns!O35-Returns!$R35</f>
        <v>-4.0702785173974555E-2</v>
      </c>
      <c r="P35">
        <f>Returns!P35-Returns!$R35</f>
        <v>-2.3945176433420454E-2</v>
      </c>
      <c r="Q35">
        <f>Returns!Q35-Returns!$R35</f>
        <v>-4.0971562060985657E-2</v>
      </c>
    </row>
    <row r="36" spans="1:17" x14ac:dyDescent="0.3">
      <c r="A36" s="1">
        <f>Returns!A36</f>
        <v>44572</v>
      </c>
      <c r="B36">
        <f>Returns!B36-Returns!$R36</f>
        <v>4.677465869616363E-2</v>
      </c>
      <c r="C36">
        <f>Returns!C36-Returns!$R36</f>
        <v>-4.7385662160487028E-3</v>
      </c>
      <c r="D36">
        <f>Returns!D36-Returns!$R36</f>
        <v>-4.155195280790188E-2</v>
      </c>
      <c r="E36">
        <f>Returns!E36-Returns!$R36</f>
        <v>-9.1615936268233077E-3</v>
      </c>
      <c r="F36">
        <f>Returns!F36-Returns!$R36</f>
        <v>2.1846182906791665E-2</v>
      </c>
      <c r="G36">
        <f>Returns!G36-Returns!$R36</f>
        <v>3.7322585505070872E-2</v>
      </c>
      <c r="H36">
        <f>Returns!H36-Returns!$R36</f>
        <v>7.6371110047420171E-2</v>
      </c>
      <c r="I36">
        <f>Returns!I36-Returns!$R36</f>
        <v>2.1468138047522487E-2</v>
      </c>
      <c r="J36">
        <f>Returns!J36-Returns!$R36</f>
        <v>3.5699961986496088E-2</v>
      </c>
      <c r="K36">
        <f>Returns!K36-Returns!$R36</f>
        <v>4.5285054316280084E-2</v>
      </c>
      <c r="L36">
        <f>Returns!L36-Returns!$R36</f>
        <v>4.7925977718141922E-2</v>
      </c>
      <c r="M36">
        <f>Returns!M36-Returns!$R36</f>
        <v>3.3856520199001684E-2</v>
      </c>
      <c r="N36">
        <f>Returns!N36-Returns!$R36</f>
        <v>9.2131537235850131E-2</v>
      </c>
      <c r="O36">
        <f>Returns!O36-Returns!$R36</f>
        <v>7.2757224649615232E-2</v>
      </c>
      <c r="P36">
        <f>Returns!P36-Returns!$R36</f>
        <v>9.2973227868765301E-2</v>
      </c>
      <c r="Q36">
        <f>Returns!Q36-Returns!$R36</f>
        <v>3.0541490262142954E-2</v>
      </c>
    </row>
    <row r="37" spans="1:17" x14ac:dyDescent="0.3">
      <c r="A37" s="1">
        <f>Returns!A37</f>
        <v>44573</v>
      </c>
      <c r="B37">
        <f>Returns!B37-Returns!$R37</f>
        <v>-2.2694951726258905E-2</v>
      </c>
      <c r="C37">
        <f>Returns!C37-Returns!$R37</f>
        <v>3.1266708569175128E-2</v>
      </c>
      <c r="D37">
        <f>Returns!D37-Returns!$R37</f>
        <v>-3.3281285541653327E-2</v>
      </c>
      <c r="E37">
        <f>Returns!E37-Returns!$R37</f>
        <v>2.1614764779978701E-2</v>
      </c>
      <c r="F37">
        <f>Returns!F37-Returns!$R37</f>
        <v>9.1373851269189732E-3</v>
      </c>
      <c r="G37">
        <f>Returns!G37-Returns!$R37</f>
        <v>2.3665901534299705E-2</v>
      </c>
      <c r="H37">
        <f>Returns!H37-Returns!$R37</f>
        <v>3.4069581814645256E-2</v>
      </c>
      <c r="I37">
        <f>Returns!I37-Returns!$R37</f>
        <v>4.2344070922241572E-2</v>
      </c>
      <c r="J37">
        <f>Returns!J37-Returns!$R37</f>
        <v>1.8172632403271383E-2</v>
      </c>
      <c r="K37">
        <f>Returns!K37-Returns!$R37</f>
        <v>8.723857613297592E-2</v>
      </c>
      <c r="L37">
        <f>Returns!L37-Returns!$R37</f>
        <v>-4.4582781645793768E-2</v>
      </c>
      <c r="M37">
        <f>Returns!M37-Returns!$R37</f>
        <v>1.7396413283494283E-2</v>
      </c>
      <c r="N37">
        <f>Returns!N37-Returns!$R37</f>
        <v>8.2718627568973968E-3</v>
      </c>
      <c r="O37">
        <f>Returns!O37-Returns!$R37</f>
        <v>9.4362327600916451E-3</v>
      </c>
      <c r="P37">
        <f>Returns!P37-Returns!$R37</f>
        <v>-5.847219713987383E-3</v>
      </c>
      <c r="Q37">
        <f>Returns!Q37-Returns!$R37</f>
        <v>1.7138956199708621E-2</v>
      </c>
    </row>
    <row r="38" spans="1:17" x14ac:dyDescent="0.3">
      <c r="A38" s="1">
        <f>Returns!A38</f>
        <v>44927</v>
      </c>
      <c r="B38">
        <f>Returns!B38-Returns!$R38</f>
        <v>-5.8941424049411099E-2</v>
      </c>
      <c r="C38">
        <f>Returns!C38-Returns!$R38</f>
        <v>-2.1803822006740293E-2</v>
      </c>
      <c r="D38">
        <f>Returns!D38-Returns!$R38</f>
        <v>-5.7905737516707405E-2</v>
      </c>
      <c r="E38">
        <f>Returns!E38-Returns!$R38</f>
        <v>-5.513797273432846E-2</v>
      </c>
      <c r="F38">
        <f>Returns!F38-Returns!$R38</f>
        <v>-9.8873960188834899E-3</v>
      </c>
      <c r="G38">
        <f>Returns!G38-Returns!$R38</f>
        <v>-3.0901840904933354E-2</v>
      </c>
      <c r="H38">
        <f>Returns!H38-Returns!$R38</f>
        <v>-1.2281692920809875E-2</v>
      </c>
      <c r="I38">
        <f>Returns!I38-Returns!$R38</f>
        <v>1.1631173805563646E-3</v>
      </c>
      <c r="J38">
        <f>Returns!J38-Returns!$R38</f>
        <v>-5.1356184053247315E-2</v>
      </c>
      <c r="K38">
        <f>Returns!K38-Returns!$R38</f>
        <v>-6.1664134391709306E-2</v>
      </c>
      <c r="L38">
        <f>Returns!L38-Returns!$R38</f>
        <v>-4.4298853573495438E-2</v>
      </c>
      <c r="M38">
        <f>Returns!M38-Returns!$R38</f>
        <v>3.0593395387720859E-3</v>
      </c>
      <c r="N38">
        <f>Returns!N38-Returns!$R38</f>
        <v>-1.1453274242789571E-2</v>
      </c>
      <c r="O38">
        <f>Returns!O38-Returns!$R38</f>
        <v>-5.5442593115674614E-2</v>
      </c>
      <c r="P38">
        <f>Returns!P38-Returns!$R38</f>
        <v>-1.0238268037663858E-2</v>
      </c>
      <c r="Q38">
        <f>Returns!Q38-Returns!$R38</f>
        <v>-2.852948545838312E-2</v>
      </c>
    </row>
    <row r="39" spans="1:17" x14ac:dyDescent="0.3">
      <c r="A39" s="1">
        <f>Returns!A39</f>
        <v>44928</v>
      </c>
      <c r="B39">
        <f>Returns!B39-Returns!$R39</f>
        <v>4.0269254759248072E-2</v>
      </c>
      <c r="C39">
        <f>Returns!C39-Returns!$R39</f>
        <v>5.57745315093765E-3</v>
      </c>
      <c r="D39">
        <f>Returns!D39-Returns!$R39</f>
        <v>7.5963068892745109E-2</v>
      </c>
      <c r="E39">
        <f>Returns!E39-Returns!$R39</f>
        <v>3.9025093799331764E-2</v>
      </c>
      <c r="F39">
        <f>Returns!F39-Returns!$R39</f>
        <v>-3.6871341874293154E-2</v>
      </c>
      <c r="G39">
        <f>Returns!G39-Returns!$R39</f>
        <v>2.4340506947067003E-4</v>
      </c>
      <c r="H39">
        <f>Returns!H39-Returns!$R39</f>
        <v>6.309304878610522E-3</v>
      </c>
      <c r="I39">
        <f>Returns!I39-Returns!$R39</f>
        <v>-2.9425168924590749E-2</v>
      </c>
      <c r="J39">
        <f>Returns!J39-Returns!$R39</f>
        <v>1.0156244823461603E-2</v>
      </c>
      <c r="K39">
        <f>Returns!K39-Returns!$R39</f>
        <v>0.11939426248488698</v>
      </c>
      <c r="L39">
        <f>Returns!L39-Returns!$R39</f>
        <v>8.3012336772522663E-2</v>
      </c>
      <c r="M39">
        <f>Returns!M39-Returns!$R39</f>
        <v>-6.8315803289065571E-2</v>
      </c>
      <c r="N39">
        <f>Returns!N39-Returns!$R39</f>
        <v>7.1393586604884082E-2</v>
      </c>
      <c r="O39">
        <f>Returns!O39-Returns!$R39</f>
        <v>2.1887322199420068E-2</v>
      </c>
      <c r="P39">
        <f>Returns!P39-Returns!$R39</f>
        <v>2.017282989811502E-2</v>
      </c>
      <c r="Q39">
        <f>Returns!Q39-Returns!$R39</f>
        <v>2.0645183196350381E-2</v>
      </c>
    </row>
    <row r="40" spans="1:17" x14ac:dyDescent="0.3">
      <c r="A40" s="1">
        <f>Returns!A40</f>
        <v>44929</v>
      </c>
      <c r="B40">
        <f>Returns!B40-Returns!$R40</f>
        <v>5.4927941388283018E-3</v>
      </c>
      <c r="C40">
        <f>Returns!C40-Returns!$R40</f>
        <v>1.7565803407046912E-3</v>
      </c>
      <c r="D40">
        <f>Returns!D40-Returns!$R40</f>
        <v>-4.137413950806712E-2</v>
      </c>
      <c r="E40">
        <f>Returns!E40-Returns!$R40</f>
        <v>-4.3265163078452851E-2</v>
      </c>
      <c r="F40">
        <f>Returns!F40-Returns!$R40</f>
        <v>-3.0491144603111756E-2</v>
      </c>
      <c r="G40">
        <f>Returns!G40-Returns!$R40</f>
        <v>-1.1012212253687096E-2</v>
      </c>
      <c r="H40">
        <f>Returns!H40-Returns!$R40</f>
        <v>9.0046109551278307E-3</v>
      </c>
      <c r="I40">
        <f>Returns!I40-Returns!$R40</f>
        <v>-1.554653745924384E-2</v>
      </c>
      <c r="J40">
        <f>Returns!J40-Returns!$R40</f>
        <v>-5.0037664657826442E-2</v>
      </c>
      <c r="K40">
        <f>Returns!K40-Returns!$R40</f>
        <v>6.8005032499869111E-2</v>
      </c>
      <c r="L40">
        <f>Returns!L40-Returns!$R40</f>
        <v>-4.201184792283108E-2</v>
      </c>
      <c r="M40">
        <f>Returns!M40-Returns!$R40</f>
        <v>-3.7416573916841722E-2</v>
      </c>
      <c r="N40">
        <f>Returns!N40-Returns!$R40</f>
        <v>-4.4749585377273915E-2</v>
      </c>
      <c r="O40">
        <f>Returns!O40-Returns!$R40</f>
        <v>-1.6201955460579679E-2</v>
      </c>
      <c r="P40">
        <f>Returns!P40-Returns!$R40</f>
        <v>-2.8211162041215324E-2</v>
      </c>
      <c r="Q40">
        <f>Returns!Q40-Returns!$R40</f>
        <v>-1.459054818026129E-2</v>
      </c>
    </row>
    <row r="41" spans="1:17" x14ac:dyDescent="0.3">
      <c r="A41" s="1">
        <f>Returns!A41</f>
        <v>44930</v>
      </c>
      <c r="B41">
        <f>Returns!B41-Returns!$R41</f>
        <v>4.5860125016916845E-2</v>
      </c>
      <c r="C41">
        <f>Returns!C41-Returns!$R41</f>
        <v>5.5013347986329966E-2</v>
      </c>
      <c r="D41">
        <f>Returns!D41-Returns!$R41</f>
        <v>3.4465482512971116E-2</v>
      </c>
      <c r="E41">
        <f>Returns!E41-Returns!$R41</f>
        <v>5.3228220835419796E-2</v>
      </c>
      <c r="F41">
        <f>Returns!F41-Returns!$R41</f>
        <v>2.5884320916966953E-3</v>
      </c>
      <c r="G41">
        <f>Returns!G41-Returns!$R41</f>
        <v>1.7152086137024694E-2</v>
      </c>
      <c r="H41">
        <f>Returns!H41-Returns!$R41</f>
        <v>-4.1834828489063489E-2</v>
      </c>
      <c r="I41">
        <f>Returns!I41-Returns!$R41</f>
        <v>2.860194314183119E-2</v>
      </c>
      <c r="J41">
        <f>Returns!J41-Returns!$R41</f>
        <v>0.11637941189217883</v>
      </c>
      <c r="K41">
        <f>Returns!K41-Returns!$R41</f>
        <v>7.1306508418362849E-2</v>
      </c>
      <c r="L41">
        <f>Returns!L41-Returns!$R41</f>
        <v>1.559838536172602E-3</v>
      </c>
      <c r="M41">
        <f>Returns!M41-Returns!$R41</f>
        <v>-1.4935898053276397E-3</v>
      </c>
      <c r="N41">
        <f>Returns!N41-Returns!$R41</f>
        <v>2.3707747791143832E-2</v>
      </c>
      <c r="O41">
        <f>Returns!O41-Returns!$R41</f>
        <v>-7.9301027715066738E-2</v>
      </c>
      <c r="P41">
        <f>Returns!P41-Returns!$R41</f>
        <v>1.3031527658993418E-2</v>
      </c>
      <c r="Q41">
        <f>Returns!Q41-Returns!$R41</f>
        <v>1.2072166531358579E-2</v>
      </c>
    </row>
    <row r="42" spans="1:17" x14ac:dyDescent="0.3">
      <c r="A42" s="1">
        <f>Returns!A42</f>
        <v>44931</v>
      </c>
      <c r="B42">
        <f>Returns!B42-Returns!$R42</f>
        <v>1.007239321392967E-2</v>
      </c>
      <c r="C42">
        <f>Returns!C42-Returns!$R42</f>
        <v>2.6965991716704614E-2</v>
      </c>
      <c r="D42">
        <f>Returns!D42-Returns!$R42</f>
        <v>8.1318092062591715E-3</v>
      </c>
      <c r="E42">
        <f>Returns!E42-Returns!$R42</f>
        <v>1.5501336351033851E-2</v>
      </c>
      <c r="F42">
        <f>Returns!F42-Returns!$R42</f>
        <v>2.0616718760002768E-2</v>
      </c>
      <c r="G42">
        <f>Returns!G42-Returns!$R42</f>
        <v>6.7064306303580897E-3</v>
      </c>
      <c r="H42">
        <f>Returns!H42-Returns!$R42</f>
        <v>3.6465221590091974E-2</v>
      </c>
      <c r="I42">
        <f>Returns!I42-Returns!$R42</f>
        <v>1.8711421044047945E-2</v>
      </c>
      <c r="J42">
        <f>Returns!J42-Returns!$R42</f>
        <v>-2.7798583725032126E-2</v>
      </c>
      <c r="K42">
        <f>Returns!K42-Returns!$R42</f>
        <v>2.203640548840985E-3</v>
      </c>
      <c r="L42">
        <f>Returns!L42-Returns!$R42</f>
        <v>6.4138945085889295E-3</v>
      </c>
      <c r="M42">
        <f>Returns!M42-Returns!$R42</f>
        <v>-2.1398082826786173E-2</v>
      </c>
      <c r="N42">
        <f>Returns!N42-Returns!$R42</f>
        <v>-1.9023463550982549E-2</v>
      </c>
      <c r="O42">
        <f>Returns!O42-Returns!$R42</f>
        <v>9.8740023423450948E-3</v>
      </c>
      <c r="P42">
        <f>Returns!P42-Returns!$R42</f>
        <v>6.870793138770542E-3</v>
      </c>
      <c r="Q42">
        <f>Returns!Q42-Returns!$R42</f>
        <v>3.8097829311245003E-3</v>
      </c>
    </row>
    <row r="43" spans="1:17" x14ac:dyDescent="0.3">
      <c r="A43" s="1">
        <f>Returns!A43</f>
        <v>44932</v>
      </c>
      <c r="B43">
        <f>Returns!B43-Returns!$R43</f>
        <v>1.7956777450209672E-2</v>
      </c>
      <c r="C43">
        <f>Returns!C43-Returns!$R43</f>
        <v>2.2903402434987275E-2</v>
      </c>
      <c r="D43">
        <f>Returns!D43-Returns!$R43</f>
        <v>5.7563844372504655E-2</v>
      </c>
      <c r="E43">
        <f>Returns!E43-Returns!$R43</f>
        <v>5.7410213696814247E-2</v>
      </c>
      <c r="F43">
        <f>Returns!F43-Returns!$R43</f>
        <v>-2.7867391426294307E-2</v>
      </c>
      <c r="G43">
        <f>Returns!G43-Returns!$R43</f>
        <v>-1.7238950040931299E-2</v>
      </c>
      <c r="H43">
        <f>Returns!H43-Returns!$R43</f>
        <v>-2.101152475523067E-2</v>
      </c>
      <c r="I43">
        <f>Returns!I43-Returns!$R43</f>
        <v>-4.0238477855066804E-2</v>
      </c>
      <c r="J43">
        <f>Returns!J43-Returns!$R43</f>
        <v>6.4021088757293841E-3</v>
      </c>
      <c r="K43">
        <f>Returns!K43-Returns!$R43</f>
        <v>0.13755368015606645</v>
      </c>
      <c r="L43">
        <f>Returns!L43-Returns!$R43</f>
        <v>-6.6972691626738981E-2</v>
      </c>
      <c r="M43">
        <f>Returns!M43-Returns!$R43</f>
        <v>-1.3036715060210379E-2</v>
      </c>
      <c r="N43">
        <f>Returns!N43-Returns!$R43</f>
        <v>7.8379267940060823E-2</v>
      </c>
      <c r="O43">
        <f>Returns!O43-Returns!$R43</f>
        <v>-2.952755419534565E-2</v>
      </c>
      <c r="P43">
        <f>Returns!P43-Returns!$R43</f>
        <v>-6.0011130536335514E-2</v>
      </c>
      <c r="Q43">
        <f>Returns!Q43-Returns!$R43</f>
        <v>-1.4356339347411763E-3</v>
      </c>
    </row>
    <row r="44" spans="1:17" x14ac:dyDescent="0.3">
      <c r="A44" s="1">
        <f>Returns!A44</f>
        <v>44933</v>
      </c>
      <c r="B44">
        <f>Returns!B44-Returns!$R44</f>
        <v>3.4371523764670869E-2</v>
      </c>
      <c r="C44">
        <f>Returns!C44-Returns!$R44</f>
        <v>1.4068703264684655E-2</v>
      </c>
      <c r="D44">
        <f>Returns!D44-Returns!$R44</f>
        <v>3.1752857505022519E-2</v>
      </c>
      <c r="E44">
        <f>Returns!E44-Returns!$R44</f>
        <v>-1.6097125685556015E-2</v>
      </c>
      <c r="F44">
        <f>Returns!F44-Returns!$R44</f>
        <v>2.3452374728595047E-2</v>
      </c>
      <c r="G44">
        <f>Returns!G44-Returns!$R44</f>
        <v>2.7116975249045192E-2</v>
      </c>
      <c r="H44">
        <f>Returns!H44-Returns!$R44</f>
        <v>2.6471386494355962E-2</v>
      </c>
      <c r="I44">
        <f>Returns!I44-Returns!$R44</f>
        <v>2.1010665809360927E-2</v>
      </c>
      <c r="J44">
        <f>Returns!J44-Returns!$R44</f>
        <v>1.9885938285634206E-2</v>
      </c>
      <c r="K44">
        <f>Returns!K44-Returns!$R44</f>
        <v>3.99953447566683E-2</v>
      </c>
      <c r="L44">
        <f>Returns!L44-Returns!$R44</f>
        <v>2.2417865483912195E-4</v>
      </c>
      <c r="M44">
        <f>Returns!M44-Returns!$R44</f>
        <v>-2.2110027509814081E-2</v>
      </c>
      <c r="N44">
        <f>Returns!N44-Returns!$R44</f>
        <v>4.0777362250975252E-2</v>
      </c>
      <c r="O44">
        <f>Returns!O44-Returns!$R44</f>
        <v>1.1212434951175052E-2</v>
      </c>
      <c r="P44">
        <f>Returns!P44-Returns!$R44</f>
        <v>2.0583644988515257E-2</v>
      </c>
      <c r="Q44">
        <f>Returns!Q44-Returns!$R44</f>
        <v>2.3665874422048792E-2</v>
      </c>
    </row>
    <row r="45" spans="1:17" x14ac:dyDescent="0.3">
      <c r="A45" s="1">
        <f>Returns!A45</f>
        <v>44934</v>
      </c>
      <c r="B45">
        <f>Returns!B45-Returns!$R45</f>
        <v>2.0035836283568481E-3</v>
      </c>
      <c r="C45">
        <f>Returns!C45-Returns!$R45</f>
        <v>-8.6269864172808727E-3</v>
      </c>
      <c r="D45">
        <f>Returns!D45-Returns!$R45</f>
        <v>5.4947475614451962E-3</v>
      </c>
      <c r="E45">
        <f>Returns!E45-Returns!$R45</f>
        <v>3.6611156376753391E-2</v>
      </c>
      <c r="F45">
        <f>Returns!F45-Returns!$R45</f>
        <v>1.8567339741161265E-3</v>
      </c>
      <c r="G45">
        <f>Returns!G45-Returns!$R45</f>
        <v>5.1626406440709099E-3</v>
      </c>
      <c r="H45">
        <f>Returns!H45-Returns!$R45</f>
        <v>2.8694829348931868E-2</v>
      </c>
      <c r="I45">
        <f>Returns!I45-Returns!$R45</f>
        <v>8.9601006718641532E-3</v>
      </c>
      <c r="J45">
        <f>Returns!J45-Returns!$R45</f>
        <v>2.5087523242945838E-2</v>
      </c>
      <c r="K45">
        <f>Returns!K45-Returns!$R45</f>
        <v>3.5010949612957483E-2</v>
      </c>
      <c r="L45">
        <f>Returns!L45-Returns!$R45</f>
        <v>-3.4262658382585515E-3</v>
      </c>
      <c r="M45">
        <f>Returns!M45-Returns!$R45</f>
        <v>-1.091543008442019E-2</v>
      </c>
      <c r="N45">
        <f>Returns!N45-Returns!$R45</f>
        <v>-5.8514463231532582E-3</v>
      </c>
      <c r="O45">
        <f>Returns!O45-Returns!$R45</f>
        <v>4.1616162331639013E-2</v>
      </c>
      <c r="P45">
        <f>Returns!P45-Returns!$R45</f>
        <v>-5.6622739782264892E-3</v>
      </c>
      <c r="Q45">
        <f>Returns!Q45-Returns!$R45</f>
        <v>8.8726659049752701E-3</v>
      </c>
    </row>
    <row r="46" spans="1:17" x14ac:dyDescent="0.3">
      <c r="A46" s="1">
        <f>Returns!A46</f>
        <v>44935</v>
      </c>
      <c r="B46">
        <f>Returns!B46-Returns!$R46</f>
        <v>-1.8851239413566104E-2</v>
      </c>
      <c r="C46">
        <f>Returns!C46-Returns!$R46</f>
        <v>-8.7065090034293552E-3</v>
      </c>
      <c r="D46">
        <f>Returns!D46-Returns!$R46</f>
        <v>1.5155768511507725E-2</v>
      </c>
      <c r="E46">
        <f>Returns!E46-Returns!$R46</f>
        <v>1.801821583569467E-2</v>
      </c>
      <c r="F46">
        <f>Returns!F46-Returns!$R46</f>
        <v>-1.6767673638784134E-2</v>
      </c>
      <c r="G46">
        <f>Returns!G46-Returns!$R46</f>
        <v>4.1797009138581503E-3</v>
      </c>
      <c r="H46">
        <f>Returns!H46-Returns!$R46</f>
        <v>-3.6117006370178187E-2</v>
      </c>
      <c r="I46">
        <f>Returns!I46-Returns!$R46</f>
        <v>-6.3889793614469587E-3</v>
      </c>
      <c r="J46">
        <f>Returns!J46-Returns!$R46</f>
        <v>-4.0138831230086131E-3</v>
      </c>
      <c r="K46">
        <f>Returns!K46-Returns!$R46</f>
        <v>2.615116621854556E-2</v>
      </c>
      <c r="L46">
        <f>Returns!L46-Returns!$R46</f>
        <v>-3.9229125699867654E-2</v>
      </c>
      <c r="M46">
        <f>Returns!M46-Returns!$R46</f>
        <v>-6.5647390072172823E-3</v>
      </c>
      <c r="N46">
        <f>Returns!N46-Returns!$R46</f>
        <v>-3.3522320885042835E-3</v>
      </c>
      <c r="O46">
        <f>Returns!O46-Returns!$R46</f>
        <v>-4.7834177354786414E-2</v>
      </c>
      <c r="P46">
        <f>Returns!P46-Returns!$R46</f>
        <v>1.716206801259583E-2</v>
      </c>
      <c r="Q46">
        <f>Returns!Q46-Returns!$R46</f>
        <v>-8.2487989554205915E-3</v>
      </c>
    </row>
    <row r="47" spans="1:17" x14ac:dyDescent="0.3">
      <c r="A47" s="1">
        <f>Returns!A47</f>
        <v>44936</v>
      </c>
      <c r="B47">
        <f>Returns!B47-Returns!$R47</f>
        <v>-4.8031803070239576E-2</v>
      </c>
      <c r="C47">
        <f>Returns!C47-Returns!$R47</f>
        <v>-2.4162814356786907E-2</v>
      </c>
      <c r="D47">
        <f>Returns!D47-Returns!$R47</f>
        <v>-4.3689494230374493E-2</v>
      </c>
      <c r="E47">
        <f>Returns!E47-Returns!$R47</f>
        <v>-2.4209404081274141E-2</v>
      </c>
      <c r="F47">
        <f>Returns!F47-Returns!$R47</f>
        <v>-2.0450438348785124E-2</v>
      </c>
      <c r="G47">
        <f>Returns!G47-Returns!$R47</f>
        <v>-1.3134869384985311E-2</v>
      </c>
      <c r="H47">
        <f>Returns!H47-Returns!$R47</f>
        <v>-7.7619583997190454E-3</v>
      </c>
      <c r="I47">
        <f>Returns!I47-Returns!$R47</f>
        <v>-3.334284546677635E-2</v>
      </c>
      <c r="J47">
        <f>Returns!J47-Returns!$R47</f>
        <v>-6.1897247157505185E-3</v>
      </c>
      <c r="K47">
        <f>Returns!K47-Returns!$R47</f>
        <v>-5.71316862232365E-2</v>
      </c>
      <c r="L47">
        <f>Returns!L47-Returns!$R47</f>
        <v>-1.034017803101905E-2</v>
      </c>
      <c r="M47">
        <f>Returns!M47-Returns!$R47</f>
        <v>-3.8082276434808549E-2</v>
      </c>
      <c r="N47">
        <f>Returns!N47-Returns!$R47</f>
        <v>-6.8259590647907098E-2</v>
      </c>
      <c r="O47">
        <f>Returns!O47-Returns!$R47</f>
        <v>-2.7103743769215202E-2</v>
      </c>
      <c r="P47">
        <f>Returns!P47-Returns!$R47</f>
        <v>1.6155879232162999E-2</v>
      </c>
      <c r="Q47">
        <f>Returns!Q47-Returns!$R47</f>
        <v>-2.8253546207613219E-2</v>
      </c>
    </row>
    <row r="48" spans="1:17" x14ac:dyDescent="0.3">
      <c r="A48" s="1">
        <f>Returns!A48</f>
        <v>44937</v>
      </c>
      <c r="B48">
        <f>Returns!B48-Returns!$R48</f>
        <v>-4.3000489890367109E-3</v>
      </c>
      <c r="C48">
        <f>Returns!C48-Returns!$R48</f>
        <v>2.7397196667545341E-2</v>
      </c>
      <c r="D48">
        <f>Returns!D48-Returns!$R48</f>
        <v>1.8473305562637463E-2</v>
      </c>
      <c r="E48">
        <f>Returns!E48-Returns!$R48</f>
        <v>-2.8041819930531144E-2</v>
      </c>
      <c r="F48">
        <f>Returns!F48-Returns!$R48</f>
        <v>-2.15088573389314E-2</v>
      </c>
      <c r="G48">
        <f>Returns!G48-Returns!$R48</f>
        <v>8.9781541367438301E-3</v>
      </c>
      <c r="H48">
        <f>Returns!H48-Returns!$R48</f>
        <v>-2.0804993500891957E-2</v>
      </c>
      <c r="I48">
        <f>Returns!I48-Returns!$R48</f>
        <v>1.3605372572133987E-2</v>
      </c>
      <c r="J48">
        <f>Returns!J48-Returns!$R48</f>
        <v>6.9792241155542702E-3</v>
      </c>
      <c r="K48">
        <f>Returns!K48-Returns!$R48</f>
        <v>-3.5979464999536102E-2</v>
      </c>
      <c r="L48">
        <f>Returns!L48-Returns!$R48</f>
        <v>-4.800984414032E-4</v>
      </c>
      <c r="M48">
        <f>Returns!M48-Returns!$R48</f>
        <v>-3.6443735693043065E-2</v>
      </c>
      <c r="N48">
        <f>Returns!N48-Returns!$R48</f>
        <v>3.7180125085129669E-2</v>
      </c>
      <c r="O48">
        <f>Returns!O48-Returns!$R48</f>
        <v>-1.7165353794693774E-2</v>
      </c>
      <c r="P48">
        <f>Returns!P48-Returns!$R48</f>
        <v>-4.6418475797694335E-2</v>
      </c>
      <c r="Q48">
        <f>Returns!Q48-Returns!$R48</f>
        <v>-1.2263248184461475E-2</v>
      </c>
    </row>
    <row r="49" spans="1:17" x14ac:dyDescent="0.3">
      <c r="A49" s="1">
        <f>Returns!A49</f>
        <v>44938</v>
      </c>
      <c r="B49">
        <f>Returns!B49-Returns!$R49</f>
        <v>4.3277803876270095E-2</v>
      </c>
      <c r="C49">
        <f>Returns!C49-Returns!$R49</f>
        <v>4.1620861432367963E-2</v>
      </c>
      <c r="D49">
        <f>Returns!D49-Returns!$R49</f>
        <v>3.4144383583274741E-2</v>
      </c>
      <c r="E49">
        <f>Returns!E49-Returns!$R49</f>
        <v>2.3212955846448089E-2</v>
      </c>
      <c r="F49">
        <f>Returns!F49-Returns!$R49</f>
        <v>1.7374759994872455E-2</v>
      </c>
      <c r="G49">
        <f>Returns!G49-Returns!$R49</f>
        <v>-2.7292215389544208E-2</v>
      </c>
      <c r="H49">
        <f>Returns!H49-Returns!$R49</f>
        <v>4.5594662833846701E-2</v>
      </c>
      <c r="I49">
        <f>Returns!I49-Returns!$R49</f>
        <v>4.3381908103360175E-3</v>
      </c>
      <c r="J49">
        <f>Returns!J49-Returns!$R49</f>
        <v>8.1465339687314481E-2</v>
      </c>
      <c r="K49">
        <f>Returns!K49-Returns!$R49</f>
        <v>5.2988832073277738E-2</v>
      </c>
      <c r="L49">
        <f>Returns!L49-Returns!$R49</f>
        <v>5.2716315902421852E-2</v>
      </c>
      <c r="M49">
        <f>Returns!M49-Returns!$R49</f>
        <v>-2.6438188033223755E-2</v>
      </c>
      <c r="N49">
        <f>Returns!N49-Returns!$R49</f>
        <v>5.3972654905556229E-2</v>
      </c>
      <c r="O49">
        <f>Returns!O49-Returns!$R49</f>
        <v>5.7378799461817655E-2</v>
      </c>
      <c r="P49">
        <f>Returns!P49-Returns!$R49</f>
        <v>-1.9981394962838153E-2</v>
      </c>
      <c r="Q49">
        <f>Returns!Q49-Returns!$R49</f>
        <v>3.2296626201394708E-2</v>
      </c>
    </row>
    <row r="50" spans="1:17" x14ac:dyDescent="0.3">
      <c r="A50" s="1">
        <f>Returns!A50</f>
        <v>45292</v>
      </c>
      <c r="B50">
        <f>Returns!B50-Returns!$R50</f>
        <v>-1.0609082817983203E-2</v>
      </c>
      <c r="C50">
        <f>Returns!C50-Returns!$R50</f>
        <v>-6.647453253638665E-3</v>
      </c>
      <c r="D50">
        <f>Returns!D50-Returns!$R50</f>
        <v>1.2882760462305879E-2</v>
      </c>
      <c r="E50">
        <f>Returns!E50-Returns!$R50</f>
        <v>1.8201792043899739E-2</v>
      </c>
      <c r="F50">
        <f>Returns!F50-Returns!$R50</f>
        <v>-1.9334991996613222E-3</v>
      </c>
      <c r="G50">
        <f>Returns!G50-Returns!$R50</f>
        <v>1.9594389260209327E-3</v>
      </c>
      <c r="H50">
        <f>Returns!H50-Returns!$R50</f>
        <v>3.2203057457232315E-2</v>
      </c>
      <c r="I50">
        <f>Returns!I50-Returns!$R50</f>
        <v>-2.3496401526996252E-2</v>
      </c>
      <c r="J50">
        <f>Returns!J50-Returns!$R50</f>
        <v>4.1681898623571217E-2</v>
      </c>
      <c r="K50">
        <f>Returns!K50-Returns!$R50</f>
        <v>2.1293325059344587E-2</v>
      </c>
      <c r="L50">
        <f>Returns!L50-Returns!$R50</f>
        <v>-1.5833967247389252E-2</v>
      </c>
      <c r="M50">
        <f>Returns!M50-Returns!$R50</f>
        <v>-4.6429729728269826E-3</v>
      </c>
      <c r="N50">
        <f>Returns!N50-Returns!$R50</f>
        <v>5.7905229905157712E-3</v>
      </c>
      <c r="O50">
        <f>Returns!O50-Returns!$R50</f>
        <v>3.7451168778950522E-2</v>
      </c>
      <c r="P50">
        <f>Returns!P50-Returns!$R50</f>
        <v>-1.0038290212902786E-2</v>
      </c>
      <c r="Q50">
        <f>Returns!Q50-Returns!$R50</f>
        <v>1.4052302602125559E-2</v>
      </c>
    </row>
    <row r="51" spans="1:17" x14ac:dyDescent="0.3">
      <c r="A51" s="1">
        <f>Returns!A51</f>
        <v>45293</v>
      </c>
      <c r="B51">
        <f>Returns!B51-Returns!$R51</f>
        <v>-1.0903945376618538E-2</v>
      </c>
      <c r="C51">
        <f>Returns!C51-Returns!$R51</f>
        <v>2.7825022398403235E-2</v>
      </c>
      <c r="D51">
        <f>Returns!D51-Returns!$R51</f>
        <v>8.7269191589426382E-3</v>
      </c>
      <c r="E51">
        <f>Returns!E51-Returns!$R51</f>
        <v>7.5403353657065315E-3</v>
      </c>
      <c r="F51">
        <f>Returns!F51-Returns!$R51</f>
        <v>-1.1765177481570582E-4</v>
      </c>
      <c r="G51">
        <f>Returns!G51-Returns!$R51</f>
        <v>1.9169693279762149E-2</v>
      </c>
      <c r="H51">
        <f>Returns!H51-Returns!$R51</f>
        <v>8.0235196964834072E-3</v>
      </c>
      <c r="I51">
        <f>Returns!I51-Returns!$R51</f>
        <v>2.6332224194158486E-2</v>
      </c>
      <c r="J51">
        <f>Returns!J51-Returns!$R51</f>
        <v>-6.0492636049465198E-2</v>
      </c>
      <c r="K51">
        <f>Returns!K51-Returns!$R51</f>
        <v>9.7265222583968192E-2</v>
      </c>
      <c r="L51">
        <f>Returns!L51-Returns!$R51</f>
        <v>2.5708734671491821E-2</v>
      </c>
      <c r="M51">
        <f>Returns!M51-Returns!$R51</f>
        <v>-3.1136231356528984E-2</v>
      </c>
      <c r="N51">
        <f>Returns!N51-Returns!$R51</f>
        <v>6.594779994649802E-2</v>
      </c>
      <c r="O51">
        <f>Returns!O51-Returns!$R51</f>
        <v>3.4591072574136094E-3</v>
      </c>
      <c r="P51">
        <f>Returns!P51-Returns!$R51</f>
        <v>7.7484010678380306E-3</v>
      </c>
      <c r="Q51">
        <f>Returns!Q51-Returns!$R51</f>
        <v>6.972593588571498E-3</v>
      </c>
    </row>
    <row r="52" spans="1:17" x14ac:dyDescent="0.3">
      <c r="A52" s="1">
        <f>Returns!A52</f>
        <v>45294</v>
      </c>
      <c r="B52">
        <f>Returns!B52-Returns!$R52</f>
        <v>-1.4117143278396747E-2</v>
      </c>
      <c r="C52">
        <f>Returns!C52-Returns!$R52</f>
        <v>6.5763404452862124E-3</v>
      </c>
      <c r="D52">
        <f>Returns!D52-Returns!$R52</f>
        <v>5.1088553729918051E-2</v>
      </c>
      <c r="E52">
        <f>Returns!E52-Returns!$R52</f>
        <v>-1.4933313254043122E-2</v>
      </c>
      <c r="F52">
        <f>Returns!F52-Returns!$R52</f>
        <v>6.4540444898481004E-3</v>
      </c>
      <c r="G52">
        <f>Returns!G52-Returns!$R52</f>
        <v>2.3693949519128069E-2</v>
      </c>
      <c r="H52">
        <f>Returns!H52-Returns!$R52</f>
        <v>2.5653793239784787E-2</v>
      </c>
      <c r="I52">
        <f>Returns!I52-Returns!$R52</f>
        <v>2.3208500203544206E-5</v>
      </c>
      <c r="J52">
        <f>Returns!J52-Returns!$R52</f>
        <v>-8.9934754586195936E-4</v>
      </c>
      <c r="K52">
        <f>Returns!K52-Returns!$R52</f>
        <v>0.10649005348203</v>
      </c>
      <c r="L52">
        <f>Returns!L52-Returns!$R52</f>
        <v>5.9590911098685528E-2</v>
      </c>
      <c r="M52">
        <f>Returns!M52-Returns!$R52</f>
        <v>-7.8569515358001257E-3</v>
      </c>
      <c r="N52">
        <f>Returns!N52-Returns!$R52</f>
        <v>2.0915069197268269E-2</v>
      </c>
      <c r="O52">
        <f>Returns!O52-Returns!$R52</f>
        <v>4.104385371003107E-3</v>
      </c>
      <c r="P52">
        <f>Returns!P52-Returns!$R52</f>
        <v>5.4148448796312882E-3</v>
      </c>
      <c r="Q52">
        <f>Returns!Q52-Returns!$R52</f>
        <v>1.719949346122596E-2</v>
      </c>
    </row>
    <row r="53" spans="1:17" x14ac:dyDescent="0.3">
      <c r="A53" s="1">
        <f>Returns!A53</f>
        <v>45295</v>
      </c>
      <c r="B53">
        <f>Returns!B53-Returns!$R53</f>
        <v>-2.44903508635331E-2</v>
      </c>
      <c r="C53">
        <f>Returns!C53-Returns!$R53</f>
        <v>9.4042751187863038E-3</v>
      </c>
      <c r="D53">
        <f>Returns!D53-Returns!$R53</f>
        <v>6.0316489602655621E-3</v>
      </c>
      <c r="E53">
        <f>Returns!E53-Returns!$R53</f>
        <v>3.3070880649297779E-2</v>
      </c>
      <c r="F53">
        <f>Returns!F53-Returns!$R53</f>
        <v>-1.4955599060945429E-2</v>
      </c>
      <c r="G53">
        <f>Returns!G53-Returns!$R53</f>
        <v>7.2286690614810356E-3</v>
      </c>
      <c r="H53">
        <f>Returns!H53-Returns!$R53</f>
        <v>2.8413043323886195E-2</v>
      </c>
      <c r="I53">
        <f>Returns!I53-Returns!$R53</f>
        <v>6.3469975713323079E-3</v>
      </c>
      <c r="J53">
        <f>Returns!J53-Returns!$R53</f>
        <v>4.9325611127254698E-3</v>
      </c>
      <c r="K53">
        <f>Returns!K53-Returns!$R53</f>
        <v>4.8814429988228852E-2</v>
      </c>
      <c r="L53">
        <f>Returns!L53-Returns!$R53</f>
        <v>3.5748928871333879E-2</v>
      </c>
      <c r="M53">
        <f>Returns!M53-Returns!$R53</f>
        <v>1.1015455777544952E-2</v>
      </c>
      <c r="N53">
        <f>Returns!N53-Returns!$R53</f>
        <v>2.1137845158933073E-3</v>
      </c>
      <c r="O53">
        <f>Returns!O53-Returns!$R53</f>
        <v>3.711741486985623E-2</v>
      </c>
      <c r="P53">
        <f>Returns!P53-Returns!$R53</f>
        <v>3.8049801440770109E-2</v>
      </c>
      <c r="Q53">
        <f>Returns!Q53-Returns!$R53</f>
        <v>9.5914950768011542E-3</v>
      </c>
    </row>
    <row r="54" spans="1:17" x14ac:dyDescent="0.3">
      <c r="A54" s="1">
        <f>Returns!A54</f>
        <v>45296</v>
      </c>
      <c r="B54">
        <f>Returns!B54-Returns!$R54</f>
        <v>-7.8370943363821003E-3</v>
      </c>
      <c r="C54">
        <f>Returns!C54-Returns!$R54</f>
        <v>-3.7086615801887622E-2</v>
      </c>
      <c r="D54">
        <f>Returns!D54-Returns!$R54</f>
        <v>-1.7201551530643074E-3</v>
      </c>
      <c r="E54">
        <f>Returns!E54-Returns!$R54</f>
        <v>3.3819797222516747E-2</v>
      </c>
      <c r="F54">
        <f>Returns!F54-Returns!$R54</f>
        <v>-2.9192324583053399E-2</v>
      </c>
      <c r="G54">
        <f>Returns!G54-Returns!$R54</f>
        <v>-1.0994737770951358E-2</v>
      </c>
      <c r="H54">
        <f>Returns!H54-Returns!$R54</f>
        <v>-2.0830087426603829E-2</v>
      </c>
      <c r="I54">
        <f>Returns!I54-Returns!$R54</f>
        <v>2.7482729441666775E-4</v>
      </c>
      <c r="J54">
        <f>Returns!J54-Returns!$R54</f>
        <v>-0.17046370344310355</v>
      </c>
      <c r="K54">
        <f>Returns!K54-Returns!$R54</f>
        <v>-2.9593602416147804E-2</v>
      </c>
      <c r="L54">
        <f>Returns!L54-Returns!$R54</f>
        <v>-4.3850556541315609E-2</v>
      </c>
      <c r="M54">
        <f>Returns!M54-Returns!$R54</f>
        <v>-2.6701936010082607E-2</v>
      </c>
      <c r="N54">
        <f>Returns!N54-Returns!$R54</f>
        <v>-4.9014884688125725E-2</v>
      </c>
      <c r="O54">
        <f>Returns!O54-Returns!$R54</f>
        <v>-1.2170989864443061E-2</v>
      </c>
      <c r="P54">
        <f>Returns!P54-Returns!$R54</f>
        <v>3.1876932869705824E-3</v>
      </c>
      <c r="Q54">
        <f>Returns!Q54-Returns!$R54</f>
        <v>-2.3067210835917309E-2</v>
      </c>
    </row>
    <row r="55" spans="1:17" x14ac:dyDescent="0.3">
      <c r="A55" s="1">
        <f>Returns!A55</f>
        <v>45297</v>
      </c>
      <c r="B55">
        <f>Returns!B55-Returns!$R55</f>
        <v>5.2365930048374525E-2</v>
      </c>
      <c r="C55">
        <f>Returns!C55-Returns!$R55</f>
        <v>2.1038908486234346E-2</v>
      </c>
      <c r="D55">
        <f>Returns!D55-Returns!$R55</f>
        <v>-1.3091821804170019E-2</v>
      </c>
      <c r="E55">
        <f>Returns!E55-Returns!$R55</f>
        <v>1.7660563600133232E-2</v>
      </c>
      <c r="F55">
        <f>Returns!F55-Returns!$R55</f>
        <v>-7.9641403589925178E-3</v>
      </c>
      <c r="G55">
        <f>Returns!G55-Returns!$R55</f>
        <v>3.9588008731938233E-2</v>
      </c>
      <c r="H55">
        <f>Returns!H55-Returns!$R55</f>
        <v>1.8514157113722389E-2</v>
      </c>
      <c r="I55">
        <f>Returns!I55-Returns!$R55</f>
        <v>-1.8662194947627396E-3</v>
      </c>
      <c r="J55">
        <f>Returns!J55-Returns!$R55</f>
        <v>8.6147987425106917E-3</v>
      </c>
      <c r="K55">
        <f>Returns!K55-Returns!$R55</f>
        <v>0.12203563704388176</v>
      </c>
      <c r="L55">
        <f>Returns!L55-Returns!$R55</f>
        <v>-3.2305144917760271E-2</v>
      </c>
      <c r="M55">
        <f>Returns!M55-Returns!$R55</f>
        <v>3.3233660288590976E-2</v>
      </c>
      <c r="N55">
        <f>Returns!N55-Returns!$R55</f>
        <v>6.7480664132314683E-2</v>
      </c>
      <c r="O55">
        <f>Returns!O55-Returns!$R55</f>
        <v>2.8242732119080342E-2</v>
      </c>
      <c r="P55">
        <f>Returns!P55-Returns!$R55</f>
        <v>-1.0923267792298359E-2</v>
      </c>
      <c r="Q55">
        <f>Returns!Q55-Returns!$R55</f>
        <v>1.8966378055578874E-2</v>
      </c>
    </row>
    <row r="56" spans="1:17" x14ac:dyDescent="0.3">
      <c r="A56" s="1">
        <f>Returns!A56</f>
        <v>45298</v>
      </c>
      <c r="B56">
        <f>Returns!B56-Returns!$R56</f>
        <v>3.7662964459655557E-2</v>
      </c>
      <c r="C56">
        <f>Returns!C56-Returns!$R56</f>
        <v>2.9800419722466609E-2</v>
      </c>
      <c r="D56">
        <f>Returns!D56-Returns!$R56</f>
        <v>3.3446096810384907E-2</v>
      </c>
      <c r="E56">
        <f>Returns!E56-Returns!$R56</f>
        <v>2.2107486010188415E-2</v>
      </c>
      <c r="F56">
        <f>Returns!F56-Returns!$R56</f>
        <v>-7.0192741935828362E-3</v>
      </c>
      <c r="G56">
        <f>Returns!G56-Returns!$R56</f>
        <v>1.1973209242451155E-2</v>
      </c>
      <c r="H56">
        <f>Returns!H56-Returns!$R56</f>
        <v>-2.3887482082829425E-3</v>
      </c>
      <c r="I56">
        <f>Returns!I56-Returns!$R56</f>
        <v>8.5066726488602917E-4</v>
      </c>
      <c r="J56">
        <f>Returns!J56-Returns!$R56</f>
        <v>-5.2077705208608549E-3</v>
      </c>
      <c r="K56">
        <f>Returns!K56-Returns!$R56</f>
        <v>3.2581663203732569E-2</v>
      </c>
      <c r="L56">
        <f>Returns!L56-Returns!$R56</f>
        <v>-2.3881279764184971E-2</v>
      </c>
      <c r="M56">
        <f>Returns!M56-Returns!$R56</f>
        <v>-1.4419373838883587E-2</v>
      </c>
      <c r="N56">
        <f>Returns!N56-Returns!$R56</f>
        <v>1.6020069424465211E-2</v>
      </c>
      <c r="O56">
        <f>Returns!O56-Returns!$R56</f>
        <v>-4.9373410232578241E-3</v>
      </c>
      <c r="P56">
        <f>Returns!P56-Returns!$R56</f>
        <v>-5.7338211427440111E-3</v>
      </c>
      <c r="Q56">
        <f>Returns!Q56-Returns!$R56</f>
        <v>1.05057941500728E-2</v>
      </c>
    </row>
    <row r="57" spans="1:17" x14ac:dyDescent="0.3">
      <c r="A57" s="1">
        <f>Returns!A57</f>
        <v>45299</v>
      </c>
      <c r="B57">
        <f>Returns!B57-Returns!$R57</f>
        <v>2.1019595839558047E-2</v>
      </c>
      <c r="C57">
        <f>Returns!C57-Returns!$R57</f>
        <v>-3.1276941671002131E-2</v>
      </c>
      <c r="D57">
        <f>Returns!D57-Returns!$R57</f>
        <v>-1.2955853385824046E-2</v>
      </c>
      <c r="E57">
        <f>Returns!E57-Returns!$R57</f>
        <v>-3.4860159127227494E-2</v>
      </c>
      <c r="F57">
        <f>Returns!F57-Returns!$R57</f>
        <v>3.1988433264933849E-2</v>
      </c>
      <c r="G57">
        <f>Returns!G57-Returns!$R57</f>
        <v>3.051441240297559E-3</v>
      </c>
      <c r="H57">
        <f>Returns!H57-Returns!$R57</f>
        <v>1.8208598478699056E-2</v>
      </c>
      <c r="I57">
        <f>Returns!I57-Returns!$R57</f>
        <v>-1.5957048556118892E-2</v>
      </c>
      <c r="J57">
        <f>Returns!J57-Returns!$R57</f>
        <v>-1.0222052705137753E-2</v>
      </c>
      <c r="K57">
        <f>Returns!K57-Returns!$R57</f>
        <v>-2.4837711992666812E-2</v>
      </c>
      <c r="L57">
        <f>Returns!L57-Returns!$R57</f>
        <v>-2.8330834520837501E-2</v>
      </c>
      <c r="M57">
        <f>Returns!M57-Returns!$R57</f>
        <v>3.7614399137032364E-2</v>
      </c>
      <c r="N57">
        <f>Returns!N57-Returns!$R57</f>
        <v>-3.387571419013978E-2</v>
      </c>
      <c r="O57">
        <f>Returns!O57-Returns!$R57</f>
        <v>2.3044191349401834E-3</v>
      </c>
      <c r="P57">
        <f>Returns!P57-Returns!$R57</f>
        <v>6.372368679397067E-3</v>
      </c>
      <c r="Q57">
        <f>Returns!Q57-Returns!$R57</f>
        <v>1.8423386715405001E-3</v>
      </c>
    </row>
    <row r="58" spans="1:17" x14ac:dyDescent="0.3">
      <c r="A58" s="1">
        <f>Returns!A58</f>
        <v>45300</v>
      </c>
      <c r="B58">
        <f>Returns!B58-Returns!$R58</f>
        <v>4.6581043489180209E-3</v>
      </c>
      <c r="C58">
        <f>Returns!C58-Returns!$R58</f>
        <v>-6.3409803443983202E-3</v>
      </c>
      <c r="D58">
        <f>Returns!D58-Returns!$R58</f>
        <v>-3.1165327925561464E-2</v>
      </c>
      <c r="E58">
        <f>Returns!E58-Returns!$R58</f>
        <v>-2.5681721256519446E-2</v>
      </c>
      <c r="F58">
        <f>Returns!F58-Returns!$R58</f>
        <v>1.4782390440724954E-2</v>
      </c>
      <c r="G58">
        <f>Returns!G58-Returns!$R58</f>
        <v>4.6707426930027184E-2</v>
      </c>
      <c r="H58">
        <f>Returns!H58-Returns!$R58</f>
        <v>1.4793929011122772E-2</v>
      </c>
      <c r="I58">
        <f>Returns!I58-Returns!$R58</f>
        <v>2.3211904801775613E-2</v>
      </c>
      <c r="J58">
        <f>Returns!J58-Returns!$R58</f>
        <v>-0.15341458672953776</v>
      </c>
      <c r="K58">
        <f>Returns!K58-Returns!$R58</f>
        <v>-9.0116426929109737E-3</v>
      </c>
      <c r="L58">
        <f>Returns!L58-Returns!$R58</f>
        <v>-2.3482405886018558E-2</v>
      </c>
      <c r="M58">
        <f>Returns!M58-Returns!$R58</f>
        <v>-3.3654918389399026E-2</v>
      </c>
      <c r="N58">
        <f>Returns!N58-Returns!$R58</f>
        <v>4.3013030367363279E-2</v>
      </c>
      <c r="O58">
        <f>Returns!O58-Returns!$R58</f>
        <v>-1.857437554969569E-3</v>
      </c>
      <c r="P58">
        <f>Returns!P58-Returns!$R58</f>
        <v>-1.266804674536324E-2</v>
      </c>
      <c r="Q58">
        <f>Returns!Q58-Returns!$R58</f>
        <v>3.3380803177274396E-3</v>
      </c>
    </row>
    <row r="59" spans="1:17" x14ac:dyDescent="0.3">
      <c r="A59" s="1">
        <f>Returns!A59</f>
        <v>45301</v>
      </c>
      <c r="B59">
        <f>Returns!B59-Returns!$R59</f>
        <v>-1.6606903874076232E-3</v>
      </c>
      <c r="C59">
        <f>Returns!C59-Returns!$R59</f>
        <v>7.3173838411813609E-3</v>
      </c>
      <c r="D59">
        <f>Returns!D59-Returns!$R59</f>
        <v>1.4116234521538932E-2</v>
      </c>
      <c r="E59">
        <f>Returns!E59-Returns!$R59</f>
        <v>1.2217532641996268E-2</v>
      </c>
      <c r="F59">
        <f>Returns!F59-Returns!$R59</f>
        <v>-1.0948941995432445E-2</v>
      </c>
      <c r="G59">
        <f>Returns!G59-Returns!$R59</f>
        <v>1.4917879362678802E-2</v>
      </c>
      <c r="H59">
        <f>Returns!H59-Returns!$R59</f>
        <v>-3.0501022718681877E-2</v>
      </c>
      <c r="I59">
        <f>Returns!I59-Returns!$R59</f>
        <v>2.0758793340103806E-3</v>
      </c>
      <c r="J59">
        <f>Returns!J59-Returns!$R59</f>
        <v>3.358230881754759E-2</v>
      </c>
      <c r="K59">
        <f>Returns!K59-Returns!$R59</f>
        <v>1.7509212633769981E-2</v>
      </c>
      <c r="L59">
        <f>Returns!L59-Returns!$R59</f>
        <v>2.2734849496284074E-2</v>
      </c>
      <c r="M59">
        <f>Returns!M59-Returns!$R59</f>
        <v>2.5215104229408566E-3</v>
      </c>
      <c r="N59">
        <f>Returns!N59-Returns!$R59</f>
        <v>4.7947637161208125E-3</v>
      </c>
      <c r="O59">
        <f>Returns!O59-Returns!$R59</f>
        <v>-1.5105013015880905E-2</v>
      </c>
      <c r="P59">
        <f>Returns!P59-Returns!$R59</f>
        <v>-2.7508287224453057E-3</v>
      </c>
      <c r="Q59">
        <f>Returns!Q59-Returns!$R59</f>
        <v>6.7144778909818438E-3</v>
      </c>
    </row>
    <row r="60" spans="1:17" x14ac:dyDescent="0.3">
      <c r="A60" s="1">
        <f>Returns!A60</f>
        <v>45302</v>
      </c>
      <c r="B60">
        <f>Returns!B60-Returns!$R60</f>
        <v>-2.0206874003385798E-2</v>
      </c>
      <c r="C60">
        <f>Returns!C60-Returns!$R60</f>
        <v>-2.3866220842284146E-2</v>
      </c>
      <c r="D60">
        <f>Returns!D60-Returns!$R60</f>
        <v>2.8216165250533533E-2</v>
      </c>
      <c r="E60">
        <f>Returns!E60-Returns!$R60</f>
        <v>2.4464464069995726E-3</v>
      </c>
      <c r="F60">
        <f>Returns!F60-Returns!$R60</f>
        <v>-8.67479072961049E-3</v>
      </c>
      <c r="G60">
        <f>Returns!G60-Returns!$R60</f>
        <v>6.1459555686181142E-3</v>
      </c>
      <c r="H60">
        <f>Returns!H60-Returns!$R60</f>
        <v>2.5755660963558559E-2</v>
      </c>
      <c r="I60">
        <f>Returns!I60-Returns!$R60</f>
        <v>-2.4049049172631697E-2</v>
      </c>
      <c r="J60">
        <f>Returns!J60-Returns!$R60</f>
        <v>-1.2300171761917519E-2</v>
      </c>
      <c r="K60">
        <f>Returns!K60-Returns!$R60</f>
        <v>4.0162956296487619E-2</v>
      </c>
      <c r="L60">
        <f>Returns!L60-Returns!$R60</f>
        <v>-1.3793890432311686E-3</v>
      </c>
      <c r="M60">
        <f>Returns!M60-Returns!$R60</f>
        <v>-1.2306151761530789E-2</v>
      </c>
      <c r="N60">
        <f>Returns!N60-Returns!$R60</f>
        <v>1.9928415282583857E-2</v>
      </c>
      <c r="O60">
        <f>Returns!O60-Returns!$R60</f>
        <v>2.4390549279314867E-2</v>
      </c>
      <c r="P60">
        <f>Returns!P60-Returns!$R60</f>
        <v>1.0620113550093438E-2</v>
      </c>
      <c r="Q60">
        <f>Returns!Q60-Returns!$R60</f>
        <v>-6.31085497432223E-3</v>
      </c>
    </row>
    <row r="61" spans="1:17" x14ac:dyDescent="0.3">
      <c r="A61" s="1">
        <f>Returns!A61</f>
        <v>45303</v>
      </c>
      <c r="B61">
        <f>Returns!B61-Returns!$R61</f>
        <v>2.7387502359547233E-2</v>
      </c>
      <c r="C61">
        <f>Returns!C61-Returns!$R61</f>
        <v>9.5941048062101447E-3</v>
      </c>
      <c r="D61">
        <f>Returns!D61-Returns!$R61</f>
        <v>1.9741821019729655E-2</v>
      </c>
      <c r="E61">
        <f>Returns!E61-Returns!$R61</f>
        <v>-6.8998616674554886E-3</v>
      </c>
      <c r="F61">
        <f>Returns!F61-Returns!$R61</f>
        <v>-1.9602462554016875E-2</v>
      </c>
      <c r="G61">
        <f>Returns!G61-Returns!$R61</f>
        <v>4.7488052306998596E-2</v>
      </c>
      <c r="H61">
        <f>Returns!H61-Returns!$R61</f>
        <v>4.422180659160746E-2</v>
      </c>
      <c r="I61">
        <f>Returns!I61-Returns!$R61</f>
        <v>3.1303288019134068E-2</v>
      </c>
      <c r="J61">
        <f>Returns!J61-Returns!$R61</f>
        <v>2.9882088820282982E-2</v>
      </c>
      <c r="K61">
        <f>Returns!K61-Returns!$R61</f>
        <v>9.5740612698519394E-3</v>
      </c>
      <c r="L61">
        <f>Returns!L61-Returns!$R61</f>
        <v>8.6617945540139796E-2</v>
      </c>
      <c r="M61">
        <f>Returns!M61-Returns!$R61</f>
        <v>-4.1940620463156608E-2</v>
      </c>
      <c r="N61">
        <f>Returns!N61-Returns!$R61</f>
        <v>6.7543438409814471E-2</v>
      </c>
      <c r="O61">
        <f>Returns!O61-Returns!$R61</f>
        <v>5.0543169043307912E-2</v>
      </c>
      <c r="P61">
        <f>Returns!P61-Returns!$R61</f>
        <v>-1.040350893264075E-2</v>
      </c>
      <c r="Q61">
        <f>Returns!Q61-Returns!$R61</f>
        <v>1.9862740753660346E-2</v>
      </c>
    </row>
    <row r="62" spans="1:17" x14ac:dyDescent="0.3">
      <c r="A62" s="1">
        <f>Returns!A62</f>
        <v>45658</v>
      </c>
      <c r="B62">
        <f>Returns!B62-Returns!$R62</f>
        <v>1.7392742185516796E-2</v>
      </c>
      <c r="C62">
        <f>Returns!C62-Returns!$R62</f>
        <v>6.1881893463023706E-4</v>
      </c>
      <c r="D62">
        <f>Returns!D62-Returns!$R62</f>
        <v>2.083342816629109E-2</v>
      </c>
      <c r="E62">
        <f>Returns!E62-Returns!$R62</f>
        <v>4.952562623317925E-2</v>
      </c>
      <c r="F62">
        <f>Returns!F62-Returns!$R62</f>
        <v>-3.1015986998270118E-2</v>
      </c>
      <c r="G62">
        <f>Returns!G62-Returns!$R62</f>
        <v>-1.6937241920129787E-2</v>
      </c>
      <c r="H62">
        <f>Returns!H62-Returns!$R62</f>
        <v>-1.8726386370265014E-2</v>
      </c>
      <c r="I62">
        <f>Returns!I62-Returns!$R62</f>
        <v>-3.104387005040975E-2</v>
      </c>
      <c r="J62">
        <f>Returns!J62-Returns!$R62</f>
        <v>-9.2597375400404455E-2</v>
      </c>
      <c r="K62">
        <f>Returns!K62-Returns!$R62</f>
        <v>-1.2386081955953244E-2</v>
      </c>
      <c r="L62">
        <f>Returns!L62-Returns!$R62</f>
        <v>-2.6460043534707867E-2</v>
      </c>
      <c r="M62">
        <f>Returns!M62-Returns!$R62</f>
        <v>7.7410885222516474E-3</v>
      </c>
      <c r="N62">
        <f>Returns!N62-Returns!$R62</f>
        <v>4.5556179125195561E-4</v>
      </c>
      <c r="O62">
        <f>Returns!O62-Returns!$R62</f>
        <v>-3.7491752511766056E-2</v>
      </c>
      <c r="P62">
        <f>Returns!P62-Returns!$R62</f>
        <v>-4.0959410982943527E-2</v>
      </c>
      <c r="Q62">
        <f>Returns!Q62-Returns!$R62</f>
        <v>-1.3394603077973567E-2</v>
      </c>
    </row>
    <row r="63" spans="1:17" x14ac:dyDescent="0.3">
      <c r="A63" s="1">
        <f>Returns!A63</f>
        <v>45659</v>
      </c>
      <c r="B63">
        <f>Returns!B63-Returns!$R63</f>
        <v>-3.7926619207970358E-2</v>
      </c>
      <c r="C63">
        <f>Returns!C63-Returns!$R63</f>
        <v>-1.8013150641635892E-2</v>
      </c>
      <c r="D63">
        <f>Returns!D63-Returns!$R63</f>
        <v>1.9357208433040892E-2</v>
      </c>
      <c r="E63">
        <f>Returns!E63-Returns!$R63</f>
        <v>1.873059001771837E-2</v>
      </c>
      <c r="F63">
        <f>Returns!F63-Returns!$R63</f>
        <v>1.622891725088715E-2</v>
      </c>
      <c r="G63">
        <f>Returns!G63-Returns!$R63</f>
        <v>2.8036418887193101E-2</v>
      </c>
      <c r="H63">
        <f>Returns!H63-Returns!$R63</f>
        <v>3.2588217897064897E-2</v>
      </c>
      <c r="I63">
        <f>Returns!I63-Returns!$R63</f>
        <v>-1.0380943620071029E-2</v>
      </c>
      <c r="J63">
        <f>Returns!J63-Returns!$R63</f>
        <v>-3.1486885215475491E-2</v>
      </c>
      <c r="K63">
        <f>Returns!K63-Returns!$R63</f>
        <v>-7.7344547494251792E-2</v>
      </c>
      <c r="L63">
        <f>Returns!L63-Returns!$R63</f>
        <v>-4.9212850788853436E-3</v>
      </c>
      <c r="M63">
        <f>Returns!M63-Returns!$R63</f>
        <v>-1.0926371200822741E-2</v>
      </c>
      <c r="N63">
        <f>Returns!N63-Returns!$R63</f>
        <v>3.2488916749968233E-2</v>
      </c>
      <c r="O63">
        <f>Returns!O63-Returns!$R63</f>
        <v>8.8564677247466826E-3</v>
      </c>
      <c r="P63">
        <f>Returns!P63-Returns!$R63</f>
        <v>-1.0186444025999556E-2</v>
      </c>
      <c r="Q63">
        <f>Returns!Q63-Returns!$R63</f>
        <v>1.2986244247326054E-3</v>
      </c>
    </row>
    <row r="64" spans="1:17" x14ac:dyDescent="0.3">
      <c r="A64" s="1">
        <f>Returns!A64</f>
        <v>45660</v>
      </c>
      <c r="B64">
        <f>Returns!B64-Returns!$R64</f>
        <v>1.8221048685005962E-2</v>
      </c>
      <c r="C64">
        <f>Returns!C64-Returns!$R64</f>
        <v>-1.7206770265944523E-2</v>
      </c>
      <c r="D64">
        <f>Returns!D64-Returns!$R64</f>
        <v>-4.3742886833437633E-2</v>
      </c>
      <c r="E64">
        <f>Returns!E64-Returns!$R64</f>
        <v>-7.0682403116662296E-2</v>
      </c>
      <c r="F64">
        <f>Returns!F64-Returns!$R64</f>
        <v>3.2026726661335325E-2</v>
      </c>
      <c r="G64">
        <f>Returns!G64-Returns!$R64</f>
        <v>1.8883607369039068E-3</v>
      </c>
      <c r="H64">
        <f>Returns!H64-Returns!$R64</f>
        <v>7.6187807556695689E-5</v>
      </c>
      <c r="I64">
        <f>Returns!I64-Returns!$R64</f>
        <v>1.7272083797800101E-2</v>
      </c>
      <c r="J64">
        <f>Returns!J64-Returns!$R64</f>
        <v>0.11636434445004185</v>
      </c>
      <c r="K64">
        <f>Returns!K64-Returns!$R64</f>
        <v>2.8441094174516238E-2</v>
      </c>
      <c r="L64">
        <f>Returns!L64-Returns!$R64</f>
        <v>6.9728868438759823E-3</v>
      </c>
      <c r="M64">
        <f>Returns!M64-Returns!$R64</f>
        <v>-2.3539520296568229E-3</v>
      </c>
      <c r="N64">
        <f>Returns!N64-Returns!$R64</f>
        <v>9.3234423045041254E-4</v>
      </c>
      <c r="O64">
        <f>Returns!O64-Returns!$R64</f>
        <v>3.9805053016553921E-3</v>
      </c>
      <c r="P64">
        <f>Returns!P64-Returns!$R64</f>
        <v>1.662470337647293E-2</v>
      </c>
      <c r="Q64">
        <f>Returns!Q64-Returns!$R64</f>
        <v>-3.6043744924655319E-3</v>
      </c>
    </row>
    <row r="65" spans="1:17" x14ac:dyDescent="0.3">
      <c r="A65" s="1">
        <f>Returns!A65</f>
        <v>45661</v>
      </c>
      <c r="B65">
        <f>Returns!B65-Returns!$R65</f>
        <v>-4.5027313835850631E-2</v>
      </c>
      <c r="C65">
        <f>Returns!C65-Returns!$R65</f>
        <v>-3.0767858890331134E-2</v>
      </c>
      <c r="D65">
        <f>Returns!D65-Returns!$R65</f>
        <v>-5.8874995861438358E-2</v>
      </c>
      <c r="E65">
        <f>Returns!E65-Returns!$R65</f>
        <v>-5.2520569069161756E-2</v>
      </c>
      <c r="F65">
        <f>Returns!F65-Returns!$R65</f>
        <v>-1.4898369899541585E-2</v>
      </c>
      <c r="G65">
        <f>Returns!G65-Returns!$R65</f>
        <v>-5.2547559509883053E-2</v>
      </c>
      <c r="H65">
        <f>Returns!H65-Returns!$R65</f>
        <v>-4.0293995144342905E-2</v>
      </c>
      <c r="I65">
        <f>Returns!I65-Returns!$R65</f>
        <v>-1.1213701241650064E-2</v>
      </c>
      <c r="J65">
        <f>Returns!J65-Returns!$R65</f>
        <v>-4.8217580027399683E-2</v>
      </c>
      <c r="K65">
        <f>Returns!K65-Returns!$R65</f>
        <v>-5.9849024902533028E-2</v>
      </c>
      <c r="L65">
        <f>Returns!L65-Returns!$R65</f>
        <v>-6.8146238335535195E-2</v>
      </c>
      <c r="M65">
        <f>Returns!M65-Returns!$R65</f>
        <v>-2.1777967115696194E-2</v>
      </c>
      <c r="N65">
        <f>Returns!N65-Returns!$R65</f>
        <v>-2.8856266211718728E-2</v>
      </c>
      <c r="O65">
        <f>Returns!O65-Returns!$R65</f>
        <v>-5.2192322337788762E-2</v>
      </c>
      <c r="P65">
        <f>Returns!P65-Returns!$R65</f>
        <v>2.4679277711183435E-2</v>
      </c>
      <c r="Q65">
        <f>Returns!Q65-Returns!$R65</f>
        <v>-3.1473064878468744E-2</v>
      </c>
    </row>
    <row r="66" spans="1:17" x14ac:dyDescent="0.3">
      <c r="A66" s="1">
        <f>Returns!A66</f>
        <v>45662</v>
      </c>
      <c r="B66">
        <f>Returns!B66-Returns!$R66</f>
        <v>-2.5448529995092142E-2</v>
      </c>
      <c r="C66">
        <f>Returns!C66-Returns!$R66</f>
        <v>5.7229026570311738E-2</v>
      </c>
      <c r="D66">
        <f>Returns!D66-Returns!$R66</f>
        <v>2.6235965382497609E-3</v>
      </c>
      <c r="E66">
        <f>Returns!E66-Returns!$R66</f>
        <v>1.5158627323272477E-2</v>
      </c>
      <c r="F66">
        <f>Returns!F66-Returns!$R66</f>
        <v>-1.9498579869608314E-2</v>
      </c>
      <c r="G66">
        <f>Returns!G66-Returns!$R66</f>
        <v>4.0876628975107722E-2</v>
      </c>
      <c r="H66">
        <f>Returns!H66-Returns!$R66</f>
        <v>-3.3397075245770965E-3</v>
      </c>
      <c r="I66">
        <f>Returns!I66-Returns!$R66</f>
        <v>-2.9755252902439602E-2</v>
      </c>
      <c r="J66">
        <f>Returns!J66-Returns!$R66</f>
        <v>-5.1291277389655852E-2</v>
      </c>
      <c r="K66">
        <f>Returns!K66-Returns!$R66</f>
        <v>1.4182703002866536E-2</v>
      </c>
      <c r="L66">
        <f>Returns!L66-Returns!$R66</f>
        <v>-3.6094738775088918E-2</v>
      </c>
      <c r="M66">
        <f>Returns!M66-Returns!$R66</f>
        <v>-2.1075889079426004E-2</v>
      </c>
      <c r="N66">
        <f>Returns!N66-Returns!$R66</f>
        <v>7.9139098054943818E-2</v>
      </c>
      <c r="O66">
        <f>Returns!O66-Returns!$R66</f>
        <v>-1.9792390489525604E-2</v>
      </c>
      <c r="P66">
        <f>Returns!P66-Returns!$R66</f>
        <v>-5.8479734798550141E-2</v>
      </c>
      <c r="Q66">
        <f>Returns!Q66-Returns!$R66</f>
        <v>-1.5964274388657559E-3</v>
      </c>
    </row>
    <row r="67" spans="1:17" x14ac:dyDescent="0.3">
      <c r="A67" s="1">
        <f>Returns!A67</f>
        <v>45663</v>
      </c>
      <c r="B67">
        <f>Returns!B67-Returns!$R67</f>
        <v>-2.2308242032174696E-2</v>
      </c>
      <c r="C67">
        <f>Returns!C67-Returns!$R67</f>
        <v>2.1827793785556705E-2</v>
      </c>
      <c r="D67">
        <f>Returns!D67-Returns!$R67</f>
        <v>2.7886907589949318E-2</v>
      </c>
      <c r="E67">
        <f>Returns!E67-Returns!$R67</f>
        <v>1.5922416084626346E-2</v>
      </c>
      <c r="F67">
        <f>Returns!F67-Returns!$R67</f>
        <v>-5.0927707322864901E-3</v>
      </c>
      <c r="G67">
        <f>Returns!G67-Returns!$R67</f>
        <v>4.4828988111720747E-3</v>
      </c>
      <c r="H67">
        <f>Returns!H67-Returns!$R67</f>
        <v>3.1035215896170244E-2</v>
      </c>
      <c r="I67">
        <f>Returns!I67-Returns!$R67</f>
        <v>1.842403414854692E-2</v>
      </c>
      <c r="J67">
        <f>Returns!J67-Returns!$R67</f>
        <v>-1.9825532045718752E-2</v>
      </c>
      <c r="K67">
        <f>Returns!K67-Returns!$R67</f>
        <v>7.4888109623570995E-2</v>
      </c>
      <c r="L67">
        <f>Returns!L67-Returns!$R67</f>
        <v>8.7933040543760208E-2</v>
      </c>
      <c r="M67">
        <f>Returns!M67-Returns!$R67</f>
        <v>-1.743314842422956E-2</v>
      </c>
      <c r="N67">
        <f>Returns!N67-Returns!$R67</f>
        <v>2.5795640518249386E-2</v>
      </c>
      <c r="O67">
        <f>Returns!O67-Returns!$R67</f>
        <v>3.85320298779495E-2</v>
      </c>
      <c r="P67">
        <f>Returns!P67-Returns!$R67</f>
        <v>-9.2479439774450622E-3</v>
      </c>
      <c r="Q67">
        <f>Returns!Q67-Returns!$R67</f>
        <v>1.6840891110887758E-2</v>
      </c>
    </row>
    <row r="68" spans="1:17" x14ac:dyDescent="0.3">
      <c r="A68" s="1">
        <f>Returns!A68</f>
        <v>45664</v>
      </c>
      <c r="B68">
        <f>Returns!B68-Returns!$R68</f>
        <v>1.0077175659672364E-2</v>
      </c>
      <c r="C68">
        <f>Returns!C68-Returns!$R68</f>
        <v>3.2302120056832861E-2</v>
      </c>
      <c r="D68">
        <f>Returns!D68-Returns!$R68</f>
        <v>2.6181369116048514E-2</v>
      </c>
      <c r="E68">
        <f>Returns!E68-Returns!$R68</f>
        <v>1.643348454909288E-2</v>
      </c>
      <c r="F68">
        <f>Returns!F68-Returns!$R68</f>
        <v>-7.7224966204060292E-3</v>
      </c>
      <c r="G68">
        <f>Returns!G68-Returns!$R68</f>
        <v>-9.0245857300167449E-3</v>
      </c>
      <c r="H68">
        <f>Returns!H68-Returns!$R68</f>
        <v>4.0198351554008638E-2</v>
      </c>
      <c r="I68">
        <f>Returns!I68-Returns!$R68</f>
        <v>-2.7685624448016477E-2</v>
      </c>
      <c r="J68">
        <f>Returns!J68-Returns!$R68</f>
        <v>5.5758103862174502E-2</v>
      </c>
      <c r="K68">
        <f>Returns!K68-Returns!$R68</f>
        <v>5.8482281733893582E-2</v>
      </c>
      <c r="L68">
        <f>Returns!L68-Returns!$R68</f>
        <v>3.6278452615282286E-2</v>
      </c>
      <c r="M68">
        <f>Returns!M68-Returns!$R68</f>
        <v>9.7216511578522829E-3</v>
      </c>
      <c r="N68">
        <f>Returns!N68-Returns!$R68</f>
        <v>4.3364035349802044E-2</v>
      </c>
      <c r="O68">
        <f>Returns!O68-Returns!$R68</f>
        <v>2.6474339219580423E-2</v>
      </c>
      <c r="P68">
        <f>Returns!P68-Returns!$R68</f>
        <v>1.4416430939563683E-2</v>
      </c>
      <c r="Q68">
        <f>Returns!Q68-Returns!$R68</f>
        <v>1.734843746844994E-2</v>
      </c>
    </row>
    <row r="69" spans="1:17" x14ac:dyDescent="0.3">
      <c r="A69" s="1">
        <f>Returns!A69</f>
        <v>45665</v>
      </c>
      <c r="B69">
        <f>Returns!B69-Returns!$R69</f>
        <v>5.2833729830771342E-3</v>
      </c>
      <c r="C69">
        <f>Returns!C69-Returns!$R69</f>
        <v>2.8985771341074058E-2</v>
      </c>
      <c r="D69">
        <f>Returns!D69-Returns!$R69</f>
        <v>-8.0297089797173246E-3</v>
      </c>
      <c r="E69">
        <f>Returns!E69-Returns!$R69</f>
        <v>2.8162136764613772E-2</v>
      </c>
      <c r="F69">
        <f>Returns!F69-Returns!$R69</f>
        <v>3.0579081405875626E-2</v>
      </c>
      <c r="G69">
        <f>Returns!G69-Returns!$R69</f>
        <v>-1.6987419741968319E-3</v>
      </c>
      <c r="H69">
        <f>Returns!H69-Returns!$R69</f>
        <v>-4.207179623033957E-3</v>
      </c>
      <c r="I69">
        <f>Returns!I69-Returns!$R69</f>
        <v>-2.6083205459837104E-2</v>
      </c>
      <c r="J69">
        <f>Returns!J69-Returns!$R69</f>
        <v>-6.2329111708919853E-2</v>
      </c>
      <c r="K69">
        <f>Returns!K69-Returns!$R69</f>
        <v>4.3367634109246274E-2</v>
      </c>
      <c r="L69">
        <f>Returns!L69-Returns!$R69</f>
        <v>-2.4808501742621496E-2</v>
      </c>
      <c r="M69">
        <f>Returns!M69-Returns!$R69</f>
        <v>-2.1188855305915959E-2</v>
      </c>
      <c r="N69">
        <f>Returns!N69-Returns!$R69</f>
        <v>-6.4416310814963684E-2</v>
      </c>
      <c r="O69">
        <f>Returns!O69-Returns!$R69</f>
        <v>-9.6141974973623576E-3</v>
      </c>
      <c r="P69">
        <f>Returns!P69-Returns!$R69</f>
        <v>1.1796819679820721E-2</v>
      </c>
      <c r="Q69">
        <f>Returns!Q69-Returns!$R69</f>
        <v>3.4901374729673423E-3</v>
      </c>
    </row>
    <row r="70" spans="1:17" x14ac:dyDescent="0.3">
      <c r="A70" s="1">
        <f>Returns!A70</f>
        <v>45666</v>
      </c>
      <c r="B70">
        <f>Returns!B70-Returns!$R70</f>
        <v>3.2861212972437784E-2</v>
      </c>
      <c r="C70">
        <f>Returns!C70-Returns!$R70</f>
        <v>-3.2417743775967775E-2</v>
      </c>
      <c r="D70">
        <f>Returns!D70-Returns!$R70</f>
        <v>9.0032398383506733E-3</v>
      </c>
      <c r="E70">
        <f>Returns!E70-Returns!$R70</f>
        <v>3.903997233153407E-2</v>
      </c>
      <c r="F70">
        <f>Returns!F70-Returns!$R70</f>
        <v>2.6946103746364369E-2</v>
      </c>
      <c r="G70">
        <f>Returns!G70-Returns!$R70</f>
        <v>-6.8591232739558146E-3</v>
      </c>
      <c r="H70">
        <f>Returns!H70-Returns!$R70</f>
        <v>1.1067534901725583E-2</v>
      </c>
      <c r="I70">
        <f>Returns!I70-Returns!$R70</f>
        <v>1.2275079449717129E-2</v>
      </c>
      <c r="J70">
        <f>Returns!J70-Returns!$R70</f>
        <v>8.4566377761480085E-2</v>
      </c>
      <c r="K70">
        <f>Returns!K70-Returns!$R70</f>
        <v>-1.3758237239252114E-2</v>
      </c>
      <c r="L70">
        <f>Returns!L70-Returns!$R70</f>
        <v>-5.5066954116968388E-3</v>
      </c>
      <c r="M70">
        <f>Returns!M70-Returns!$R70</f>
        <v>2.2434862001945065E-2</v>
      </c>
      <c r="N70">
        <f>Returns!N70-Returns!$R70</f>
        <v>9.0811023446287324E-3</v>
      </c>
      <c r="O70">
        <f>Returns!O70-Returns!$R70</f>
        <v>3.1299947752012017E-2</v>
      </c>
      <c r="P70">
        <f>Returns!P70-Returns!$R70</f>
        <v>4.9386826671494292E-3</v>
      </c>
      <c r="Q70">
        <f>Returns!Q70-Returns!$R70</f>
        <v>4.3862931106522611E-3</v>
      </c>
    </row>
    <row r="71" spans="1:17" x14ac:dyDescent="0.3">
      <c r="A71" s="1">
        <f>Returns!A71</f>
        <v>45667</v>
      </c>
      <c r="B71">
        <f>Returns!B71-Returns!$R71</f>
        <v>4.2807288707293008E-2</v>
      </c>
      <c r="C71">
        <f>Returns!C71-Returns!$R71</f>
        <v>8.7774999870884364E-3</v>
      </c>
      <c r="D71">
        <f>Returns!D71-Returns!$R71</f>
        <v>-1.5628430026938919E-2</v>
      </c>
      <c r="E71">
        <f>Returns!E71-Returns!$R71</f>
        <v>5.9093564635182012E-2</v>
      </c>
      <c r="F71">
        <f>Returns!F71-Returns!$R71</f>
        <v>1.6896328248077633E-2</v>
      </c>
      <c r="G71">
        <f>Returns!G71-Returns!$R71</f>
        <v>1.9686059756203193E-2</v>
      </c>
      <c r="H71">
        <f>Returns!H71-Returns!$R71</f>
        <v>1.5899006057785939E-2</v>
      </c>
      <c r="I71">
        <f>Returns!I71-Returns!$R71</f>
        <v>-1.3712146078201922E-2</v>
      </c>
      <c r="J71">
        <f>Returns!J71-Returns!$R71</f>
        <v>0.14390756430482199</v>
      </c>
      <c r="K71">
        <f>Returns!K71-Returns!$R71</f>
        <v>3.3794184276914947E-2</v>
      </c>
      <c r="L71">
        <f>Returns!L71-Returns!$R71</f>
        <v>-1.4542247933575943E-2</v>
      </c>
      <c r="M71">
        <f>Returns!M71-Returns!$R71</f>
        <v>1.7756166601338833E-2</v>
      </c>
      <c r="N71">
        <f>Returns!N71-Returns!$R71</f>
        <v>-1.1363183612119073E-2</v>
      </c>
      <c r="O71">
        <f>Returns!O71-Returns!$R71</f>
        <v>5.7489900682459218E-3</v>
      </c>
      <c r="P71">
        <f>Returns!P71-Returns!$R71</f>
        <v>-9.6976209106416321E-3</v>
      </c>
      <c r="Q71">
        <f>Returns!Q71-Returns!$R71</f>
        <v>1.4020845962649634E-2</v>
      </c>
    </row>
    <row r="72" spans="1:17" x14ac:dyDescent="0.3">
      <c r="A72" s="1">
        <f>Returns!A72</f>
        <v>45668</v>
      </c>
      <c r="B72">
        <f>Returns!B72-Returns!$R72</f>
        <v>2.1863842071936198E-2</v>
      </c>
      <c r="C72">
        <f>Returns!C72-Returns!$R72</f>
        <v>6.310702659780244E-4</v>
      </c>
      <c r="D72">
        <f>Returns!D72-Returns!$R72</f>
        <v>6.6406577594134319E-2</v>
      </c>
      <c r="E72">
        <f>Returns!E72-Returns!$R72</f>
        <v>6.5377875704069333E-2</v>
      </c>
      <c r="F72">
        <f>Returns!F72-Returns!$R72</f>
        <v>3.382193288661124E-3</v>
      </c>
      <c r="G72">
        <f>Returns!G72-Returns!$R72</f>
        <v>-1.0997985739277186E-2</v>
      </c>
      <c r="H72">
        <f>Returns!H72-Returns!$R72</f>
        <v>-7.6944306273968909E-3</v>
      </c>
      <c r="I72">
        <f>Returns!I72-Returns!$R72</f>
        <v>-1.3859841923141662E-2</v>
      </c>
      <c r="J72">
        <f>Returns!J72-Returns!$R72</f>
        <v>7.5765664608400451E-2</v>
      </c>
      <c r="K72">
        <f>Returns!K72-Returns!$R72</f>
        <v>4.6928900199293903E-2</v>
      </c>
      <c r="L72">
        <f>Returns!L72-Returns!$R72</f>
        <v>-9.4306798379181801E-3</v>
      </c>
      <c r="M72">
        <f>Returns!M72-Returns!$R72</f>
        <v>-2.7280087557252256E-2</v>
      </c>
      <c r="N72">
        <f>Returns!N72-Returns!$R72</f>
        <v>-1.9482734279225148E-2</v>
      </c>
      <c r="O72">
        <f>Returns!O72-Returns!$R72</f>
        <v>1.2717130324439604E-2</v>
      </c>
      <c r="P72">
        <f>Returns!P72-Returns!$R72</f>
        <v>3.8547355825507236E-3</v>
      </c>
      <c r="Q72">
        <f>Returns!Q72-Returns!$R72</f>
        <v>1.0373254140202012E-2</v>
      </c>
    </row>
    <row r="73" spans="1:17" x14ac:dyDescent="0.3">
      <c r="A73" s="1">
        <f>Returns!A73</f>
        <v>45669</v>
      </c>
      <c r="B73">
        <f>Returns!B73-Returns!$R73</f>
        <v>8.5049426194875894E-3</v>
      </c>
      <c r="C73">
        <f>Returns!C73-Returns!$R73</f>
        <v>-3.0550610812859313E-2</v>
      </c>
      <c r="D73">
        <f>Returns!D73-Returns!$R73</f>
        <v>-4.2903745322392217E-2</v>
      </c>
      <c r="E73">
        <f>Returns!E73-Returns!$R73</f>
        <v>4.7989709993172924E-2</v>
      </c>
      <c r="F73">
        <f>Returns!F73-Returns!$R73</f>
        <v>3.4941585152508947E-2</v>
      </c>
      <c r="G73">
        <f>Returns!G73-Returns!$R73</f>
        <v>3.633821914208285E-2</v>
      </c>
      <c r="H73">
        <f>Returns!H73-Returns!$R73</f>
        <v>-8.0209980418915897E-4</v>
      </c>
      <c r="I73">
        <f>Returns!I73-Returns!$R73</f>
        <v>-9.3423003887283512E-3</v>
      </c>
      <c r="J73">
        <f>Returns!J73-Returns!$R73</f>
        <v>-7.745257006085025E-3</v>
      </c>
      <c r="K73">
        <f>Returns!K73-Returns!$R73</f>
        <v>-7.9304969816952176E-2</v>
      </c>
      <c r="L73">
        <f>Returns!L73-Returns!$R73</f>
        <v>-3.400388408488958E-2</v>
      </c>
      <c r="M73">
        <f>Returns!M73-Returns!$R73</f>
        <v>1.6670663282390696E-2</v>
      </c>
      <c r="N73">
        <f>Returns!N73-Returns!$R73</f>
        <v>-3.0432847830097087E-2</v>
      </c>
      <c r="O73">
        <f>Returns!O73-Returns!$R73</f>
        <v>-1.5640467483606911E-3</v>
      </c>
      <c r="P73">
        <f>Returns!P73-Returns!$R73</f>
        <v>2.5100663960006555E-3</v>
      </c>
      <c r="Q73">
        <f>Returns!Q73-Returns!$R73</f>
        <v>-7.9577631873398152E-3</v>
      </c>
    </row>
    <row r="74" spans="1:17" x14ac:dyDescent="0.3">
      <c r="A74" s="1">
        <f>Returns!A74</f>
        <v>46023</v>
      </c>
      <c r="B74">
        <f>Returns!B74-Returns!$R74</f>
        <v>-1.253491089217084E-2</v>
      </c>
      <c r="C74">
        <f>Returns!C74-Returns!$R74</f>
        <v>-7.0654955905495795E-3</v>
      </c>
      <c r="D74">
        <f>Returns!D74-Returns!$R74</f>
        <v>-6.9733931022677373E-3</v>
      </c>
      <c r="E74">
        <f>Returns!E74-Returns!$R74</f>
        <v>-4.5533089701803517E-3</v>
      </c>
      <c r="F74">
        <f>Returns!F74-Returns!$R74</f>
        <v>-2.7858555341622108E-3</v>
      </c>
      <c r="G74">
        <f>Returns!G74-Returns!$R74</f>
        <v>1.422182742907359E-4</v>
      </c>
      <c r="H74">
        <f>Returns!H74-Returns!$R74</f>
        <v>9.5964297486383979E-3</v>
      </c>
      <c r="I74">
        <f>Returns!I74-Returns!$R74</f>
        <v>-1.8343410134730613E-2</v>
      </c>
      <c r="J74">
        <f>Returns!J74-Returns!$R74</f>
        <v>-2.684864287027721E-2</v>
      </c>
      <c r="K74">
        <f>Returns!K74-Returns!$R74</f>
        <v>3.248735583841867E-2</v>
      </c>
      <c r="L74">
        <f>Returns!L74-Returns!$R74</f>
        <v>3.044960258734198E-2</v>
      </c>
      <c r="M74">
        <f>Returns!M74-Returns!$R74</f>
        <v>-1.6811757982991164E-2</v>
      </c>
      <c r="N74">
        <f>Returns!N74-Returns!$R74</f>
        <v>-5.7120659330275096E-2</v>
      </c>
      <c r="O74">
        <f>Returns!O74-Returns!$R74</f>
        <v>8.7873974565946325E-3</v>
      </c>
      <c r="P74">
        <f>Returns!P74-Returns!$R74</f>
        <v>1.1216291752860437E-2</v>
      </c>
      <c r="Q74">
        <f>Returns!Q74-Returns!$R74</f>
        <v>7.1701861019214013E-4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5166A-9C34-4A82-BC6B-FD248917C03B}">
  <dimension ref="A3:Q7"/>
  <sheetViews>
    <sheetView workbookViewId="0">
      <selection activeCell="K10" sqref="K10"/>
    </sheetView>
  </sheetViews>
  <sheetFormatPr defaultRowHeight="14.4" x14ac:dyDescent="0.3"/>
  <cols>
    <col min="1" max="1" width="10.44140625" bestFit="1" customWidth="1"/>
    <col min="2" max="2" width="12" bestFit="1" customWidth="1"/>
    <col min="3" max="3" width="10.77734375" bestFit="1" customWidth="1"/>
    <col min="4" max="4" width="12.77734375" bestFit="1" customWidth="1"/>
    <col min="5" max="5" width="11" bestFit="1" customWidth="1"/>
    <col min="6" max="6" width="19.77734375" bestFit="1" customWidth="1"/>
    <col min="7" max="7" width="9.21875" bestFit="1" customWidth="1"/>
    <col min="8" max="8" width="22.109375" bestFit="1" customWidth="1"/>
    <col min="9" max="9" width="17.77734375" bestFit="1" customWidth="1"/>
    <col min="12" max="12" width="11.88671875" bestFit="1" customWidth="1"/>
    <col min="13" max="13" width="6.5546875" bestFit="1" customWidth="1"/>
    <col min="14" max="14" width="7.5546875" bestFit="1" customWidth="1"/>
    <col min="15" max="15" width="16.109375" bestFit="1" customWidth="1"/>
    <col min="16" max="16" width="12.21875" bestFit="1" customWidth="1"/>
  </cols>
  <sheetData>
    <row r="3" spans="1:17" x14ac:dyDescent="0.3">
      <c r="B3" s="1" t="str">
        <f>'Risk Premia'!B1</f>
        <v>APPLE</v>
      </c>
      <c r="C3" s="1" t="str">
        <f>'Risk Premia'!C1</f>
        <v>MICROSOFT</v>
      </c>
      <c r="D3" s="1" t="str">
        <f>'Risk Premia'!D1</f>
        <v>AMAZON,COM</v>
      </c>
      <c r="E3" s="1" t="str">
        <f>'Risk Premia'!E1</f>
        <v>ALPHABET A</v>
      </c>
      <c r="F3" s="1" t="str">
        <f>'Risk Premia'!F1</f>
        <v>JOHNSON &amp; JOHNSON</v>
      </c>
      <c r="G3" s="1" t="str">
        <f>'Risk Premia'!G1</f>
        <v>WALMART</v>
      </c>
      <c r="H3" s="1" t="str">
        <f>'Risk Premia'!H1</f>
        <v>JP MORGAN CHASE &amp; CO.</v>
      </c>
      <c r="I3" s="1" t="str">
        <f>'Risk Premia'!I1</f>
        <v>PROCTER &amp; GAMBLE</v>
      </c>
      <c r="J3" s="1" t="str">
        <f>'Risk Premia'!J1</f>
        <v>INTEL</v>
      </c>
      <c r="K3" s="1" t="str">
        <f>'Risk Premia'!K1</f>
        <v>NVIDIA</v>
      </c>
      <c r="L3" s="1" t="str">
        <f>'Risk Premia'!L1</f>
        <v>WALT DISNEY</v>
      </c>
      <c r="M3" s="1" t="str">
        <f>'Risk Premia'!M1</f>
        <v>PFIZER</v>
      </c>
      <c r="N3" s="1" t="str">
        <f>'Risk Premia'!N1</f>
        <v>NETFLIX</v>
      </c>
      <c r="O3" s="1" t="str">
        <f>'Risk Premia'!O1</f>
        <v>BANK OF AMERICA</v>
      </c>
      <c r="P3" s="1" t="str">
        <f>'Risk Premia'!P1</f>
        <v>EXXON MOBIL</v>
      </c>
      <c r="Q3" s="1"/>
    </row>
    <row r="4" spans="1:17" x14ac:dyDescent="0.3">
      <c r="A4" t="s">
        <v>22</v>
      </c>
      <c r="B4">
        <f>AVERAGE('Risk Premia'!B2:B74)</f>
        <v>5.3637749879886258E-3</v>
      </c>
      <c r="C4">
        <f>AVERAGE('Risk Premia'!C2:C74)</f>
        <v>4.2387644141650624E-3</v>
      </c>
      <c r="D4">
        <f>AVERAGE('Risk Premia'!D2:D74)</f>
        <v>2.9593211321234112E-3</v>
      </c>
      <c r="E4">
        <f>AVERAGE('Risk Premia'!E2:E74)</f>
        <v>6.8461827454446376E-3</v>
      </c>
      <c r="F4">
        <f>AVERAGE('Risk Premia'!F2:F74)</f>
        <v>-3.8308031245313509E-4</v>
      </c>
      <c r="G4">
        <f>AVERAGE('Risk Premia'!G2:G74)</f>
        <v>3.7483239719811631E-3</v>
      </c>
      <c r="H4">
        <f>AVERAGE('Risk Premia'!H2:H74)</f>
        <v>2.5534066771249176E-3</v>
      </c>
      <c r="I4">
        <f>AVERAGE('Risk Premia'!I2:I74)</f>
        <v>-1.6487180978510714E-3</v>
      </c>
      <c r="J4">
        <f>AVERAGE('Risk Premia'!J2:J74)</f>
        <v>-5.3048098847007273E-3</v>
      </c>
      <c r="K4">
        <f>AVERAGE('Risk Premia'!K2:K74)</f>
        <v>1.837784806592473E-2</v>
      </c>
      <c r="L4">
        <f>AVERAGE('Risk Premia'!L2:L74)</f>
        <v>-3.9816366563964452E-3</v>
      </c>
      <c r="M4">
        <f>AVERAGE('Risk Premia'!M2:M74)</f>
        <v>-4.8991968941601164E-3</v>
      </c>
      <c r="N4">
        <f>AVERAGE('Risk Premia'!N2:N74)</f>
        <v>3.905123979843573E-3</v>
      </c>
      <c r="O4">
        <f>AVERAGE('Risk Premia'!O2:O74)</f>
        <v>1.8058001867923238E-4</v>
      </c>
      <c r="P4">
        <f>AVERAGE('Risk Premia'!P2:P74)</f>
        <v>7.4602789713039462E-4</v>
      </c>
    </row>
    <row r="5" spans="1:17" x14ac:dyDescent="0.3">
      <c r="A5" t="s">
        <v>19</v>
      </c>
      <c r="B5">
        <f>_xlfn.STDEV.S('Risk Premia'!B2:B74)</f>
        <v>3.5494016816962702E-2</v>
      </c>
      <c r="C5">
        <f>_xlfn.STDEV.S('Risk Premia'!C2:C74)</f>
        <v>2.7099576806161679E-2</v>
      </c>
      <c r="D5">
        <f>_xlfn.STDEV.S('Risk Premia'!D2:D74)</f>
        <v>3.8732743174393847E-2</v>
      </c>
      <c r="E5">
        <f>_xlfn.STDEV.S('Risk Premia'!E2:E74)</f>
        <v>3.5633772310296311E-2</v>
      </c>
      <c r="F5">
        <f>_xlfn.STDEV.S('Risk Premia'!F2:F74)</f>
        <v>2.1755647673697431E-2</v>
      </c>
      <c r="G5">
        <f>_xlfn.STDEV.S('Risk Premia'!G2:G74)</f>
        <v>2.4356048032949679E-2</v>
      </c>
      <c r="H5">
        <f>_xlfn.STDEV.S('Risk Premia'!H2:H74)</f>
        <v>3.4322678710802537E-2</v>
      </c>
      <c r="I5">
        <f>_xlfn.STDEV.S('Risk Premia'!I2:I74)</f>
        <v>2.1382365147659711E-2</v>
      </c>
      <c r="J5">
        <f>_xlfn.STDEV.S('Risk Premia'!J2:J74)</f>
        <v>5.4768536855302218E-2</v>
      </c>
      <c r="K5">
        <f>_xlfn.STDEV.S('Risk Premia'!K2:K74)</f>
        <v>6.081380262713703E-2</v>
      </c>
      <c r="L5">
        <f>_xlfn.STDEV.S('Risk Premia'!L2:L74)</f>
        <v>4.360985009490994E-2</v>
      </c>
      <c r="M5">
        <f>_xlfn.STDEV.S('Risk Premia'!M2:M74)</f>
        <v>3.097038097513807E-2</v>
      </c>
      <c r="N5">
        <f>_xlfn.STDEV.S('Risk Premia'!N2:N74)</f>
        <v>5.5049980679336544E-2</v>
      </c>
      <c r="O5">
        <f>_xlfn.STDEV.S('Risk Premia'!O2:O74)</f>
        <v>3.9732765689597528E-2</v>
      </c>
      <c r="P5">
        <f>_xlfn.STDEV.S('Risk Premia'!P2:P74)</f>
        <v>4.0089662951824222E-2</v>
      </c>
    </row>
    <row r="6" spans="1:17" x14ac:dyDescent="0.3">
      <c r="A6" t="s">
        <v>21</v>
      </c>
      <c r="B6">
        <f>B5^2</f>
        <v>1.2598252298028311E-3</v>
      </c>
      <c r="C6">
        <f t="shared" ref="C6:P6" si="0">C5^2</f>
        <v>7.3438706307305608E-4</v>
      </c>
      <c r="D6">
        <f t="shared" si="0"/>
        <v>1.5002253938135532E-3</v>
      </c>
      <c r="E6">
        <f t="shared" si="0"/>
        <v>1.2697657290620401E-3</v>
      </c>
      <c r="F6">
        <f t="shared" si="0"/>
        <v>4.7330820570205644E-4</v>
      </c>
      <c r="G6">
        <f t="shared" si="0"/>
        <v>5.9321707578335197E-4</v>
      </c>
      <c r="H6">
        <f t="shared" si="0"/>
        <v>1.1780462738849777E-3</v>
      </c>
      <c r="I6">
        <f t="shared" si="0"/>
        <v>4.5720553930785269E-4</v>
      </c>
      <c r="J6">
        <f t="shared" si="0"/>
        <v>2.9995926292705971E-3</v>
      </c>
      <c r="K6">
        <f t="shared" si="0"/>
        <v>3.6983185899723786E-3</v>
      </c>
      <c r="L6">
        <f t="shared" si="0"/>
        <v>1.9018190253005166E-3</v>
      </c>
      <c r="M6">
        <f t="shared" si="0"/>
        <v>9.5916449774519411E-4</v>
      </c>
      <c r="N6">
        <f t="shared" si="0"/>
        <v>3.0305003727953269E-3</v>
      </c>
      <c r="O6">
        <f t="shared" si="0"/>
        <v>1.5786926693444586E-3</v>
      </c>
      <c r="P6">
        <f t="shared" si="0"/>
        <v>1.6071810755908676E-3</v>
      </c>
    </row>
    <row r="7" spans="1:17" x14ac:dyDescent="0.3">
      <c r="A7" t="s">
        <v>23</v>
      </c>
      <c r="B7">
        <f>_xlfn.COVARIANCE.S('Risk Premia'!B3:B74,'Risk Premia'!$Q$3:$Q$74)/_xlfn.VAR.S('Risk Premia'!$Q$3:$Q$74)</f>
        <v>1.1863629029704761</v>
      </c>
      <c r="C7">
        <f>_xlfn.COVARIANCE.S('Risk Premia'!C3:C74,'Risk Premia'!$Q$3:$Q$74)/_xlfn.VAR.S('Risk Premia'!$Q$3:$Q$74)</f>
        <v>0.85442636404220185</v>
      </c>
      <c r="D7">
        <f>_xlfn.COVARIANCE.S('Risk Premia'!D3:D74,'Risk Premia'!$Q$3:$Q$74)/_xlfn.VAR.S('Risk Premia'!$Q$3:$Q$74)</f>
        <v>1.0615343293678423</v>
      </c>
      <c r="E7">
        <f>_xlfn.COVARIANCE.S('Risk Premia'!E3:E74,'Risk Premia'!$Q$3:$Q$74)/_xlfn.VAR.S('Risk Premia'!$Q$3:$Q$74)</f>
        <v>1.0497087728385239</v>
      </c>
      <c r="F7">
        <f>_xlfn.COVARIANCE.S('Risk Premia'!F3:F74,'Risk Premia'!$Q$3:$Q$74)/_xlfn.VAR.S('Risk Premia'!$Q$3:$Q$74)</f>
        <v>0.46469886171912589</v>
      </c>
      <c r="G7">
        <f>_xlfn.COVARIANCE.S('Risk Premia'!G3:G74,'Risk Premia'!$Q$3:$Q$74)/_xlfn.VAR.S('Risk Premia'!$Q$3:$Q$74)</f>
        <v>0.47805734239510878</v>
      </c>
      <c r="H7">
        <f>_xlfn.COVARIANCE.S('Risk Premia'!H3:H74,'Risk Premia'!$Q$3:$Q$74)/_xlfn.VAR.S('Risk Premia'!$Q$3:$Q$74)</f>
        <v>1.155099483090805</v>
      </c>
      <c r="I7">
        <f>_xlfn.COVARIANCE.S('Risk Premia'!I3:I74,'Risk Premia'!$Q$3:$Q$74)/_xlfn.VAR.S('Risk Premia'!$Q$3:$Q$74)</f>
        <v>0.39194601323186917</v>
      </c>
      <c r="J7">
        <f>_xlfn.COVARIANCE.S('Risk Premia'!J3:J74,'Risk Premia'!$Q$3:$Q$74)/_xlfn.VAR.S('Risk Premia'!$Q$3:$Q$74)</f>
        <v>1.0803139555024479</v>
      </c>
      <c r="K7">
        <f>_xlfn.COVARIANCE.S('Risk Premia'!K3:K74,'Risk Premia'!$Q$3:$Q$74)/_xlfn.VAR.S('Risk Premia'!$Q$3:$Q$74)</f>
        <v>1.6705312399530405</v>
      </c>
      <c r="L7">
        <f>_xlfn.COVARIANCE.S('Risk Premia'!L3:L74,'Risk Premia'!$Q$3:$Q$74)/_xlfn.VAR.S('Risk Premia'!$Q$3:$Q$74)</f>
        <v>1.4057737481664532</v>
      </c>
      <c r="M7">
        <f>_xlfn.COVARIANCE.S('Risk Premia'!M3:M74,'Risk Premia'!$Q$3:$Q$74)/_xlfn.VAR.S('Risk Premia'!$Q$3:$Q$74)</f>
        <v>0.61242797446385766</v>
      </c>
      <c r="N7">
        <f>_xlfn.COVARIANCE.S('Risk Premia'!N3:N74,'Risk Premia'!$Q$3:$Q$74)/_xlfn.VAR.S('Risk Premia'!$Q$3:$Q$74)</f>
        <v>1.2089818918172079</v>
      </c>
      <c r="O7">
        <f>_xlfn.COVARIANCE.S('Risk Premia'!O3:O74,'Risk Premia'!$Q$3:$Q$74)/_xlfn.VAR.S('Risk Premia'!$Q$3:$Q$74)</f>
        <v>1.4017850598421062</v>
      </c>
      <c r="P7">
        <f>_xlfn.COVARIANCE.S('Risk Premia'!P3:P74,'Risk Premia'!$Q$3:$Q$74)/_xlfn.VAR.S('Risk Premia'!$Q$3:$Q$74)</f>
        <v>0.81172643247343412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86F4-FB76-4EF2-ABE3-0B32B62492C3}">
  <dimension ref="B2:T56"/>
  <sheetViews>
    <sheetView tabSelected="1" topLeftCell="A31" workbookViewId="0">
      <selection activeCell="K41" sqref="K41"/>
    </sheetView>
  </sheetViews>
  <sheetFormatPr defaultRowHeight="14.4" x14ac:dyDescent="0.3"/>
  <cols>
    <col min="12" max="12" width="12" bestFit="1" customWidth="1"/>
    <col min="20" max="20" width="12.6640625" bestFit="1" customWidth="1"/>
  </cols>
  <sheetData>
    <row r="2" spans="2:20" x14ac:dyDescent="0.3">
      <c r="B2" t="s">
        <v>20</v>
      </c>
      <c r="T2" t="s">
        <v>18</v>
      </c>
    </row>
    <row r="3" spans="2:20" x14ac:dyDescent="0.3">
      <c r="B3">
        <f>_xlfn.COVARIANCE.S('Risk Premia'!$B$3:$B$74,'Risk Premia'!B3:B74)</f>
        <v>1.2598252298028311E-3</v>
      </c>
      <c r="C3">
        <f>_xlfn.COVARIANCE.S('Risk Premia'!$B$3:$B$74,'Risk Premia'!C3:C74)</f>
        <v>5.7194579774019717E-4</v>
      </c>
      <c r="D3">
        <f>_xlfn.COVARIANCE.S('Risk Premia'!$B$3:$B$74,'Risk Premia'!D3:D74)</f>
        <v>8.3452598732142321E-4</v>
      </c>
      <c r="E3">
        <f>_xlfn.COVARIANCE.S('Risk Premia'!$B$3:$B$74,'Risk Premia'!E3:E74)</f>
        <v>6.5839478287096779E-4</v>
      </c>
      <c r="F3">
        <f>_xlfn.COVARIANCE.S('Risk Premia'!$B$3:$B$74,'Risk Premia'!F3:F74)</f>
        <v>2.9237959048967853E-4</v>
      </c>
      <c r="G3">
        <f>_xlfn.COVARIANCE.S('Risk Premia'!$B$3:$B$74,'Risk Premia'!G3:G74)</f>
        <v>3.0888847289165184E-4</v>
      </c>
      <c r="H3">
        <f>_xlfn.COVARIANCE.S('Risk Premia'!$B$3:$B$74,'Risk Premia'!H3:H74)</f>
        <v>4.068734621187392E-4</v>
      </c>
      <c r="I3">
        <f>_xlfn.COVARIANCE.S('Risk Premia'!$B$3:$B$74,'Risk Premia'!I3:I74)</f>
        <v>2.6025225722741015E-4</v>
      </c>
      <c r="J3">
        <f>_xlfn.COVARIANCE.S('Risk Premia'!$B$3:$B$74,'Risk Premia'!J3:J74)</f>
        <v>6.8566128706508888E-4</v>
      </c>
      <c r="K3">
        <f>_xlfn.COVARIANCE.S('Risk Premia'!$B$3:$B$74,'Risk Premia'!K3:K74)</f>
        <v>1.1574873989363933E-3</v>
      </c>
      <c r="L3">
        <f>_xlfn.COVARIANCE.S('Risk Premia'!$B$3:$B$74,'Risk Premia'!L3:L74)</f>
        <v>6.9438778133475425E-4</v>
      </c>
      <c r="M3">
        <f>_xlfn.COVARIANCE.S('Risk Premia'!$B$3:$B$74,'Risk Premia'!M3:M74)</f>
        <v>4.233997475659586E-4</v>
      </c>
      <c r="N3">
        <f>_xlfn.COVARIANCE.S('Risk Premia'!$B$3:$B$74,'Risk Premia'!N3:N74)</f>
        <v>7.5567813672997638E-4</v>
      </c>
      <c r="O3">
        <f>_xlfn.COVARIANCE.S('Risk Premia'!$B$3:$B$74,'Risk Premia'!O3:O74)</f>
        <v>6.0905139988294489E-4</v>
      </c>
      <c r="P3">
        <f>_xlfn.COVARIANCE.S('Risk Premia'!$B$3:$B$74,'Risk Premia'!P3:P74)</f>
        <v>2.8552399247661536E-4</v>
      </c>
      <c r="T3">
        <v>5.3637749879886258E-3</v>
      </c>
    </row>
    <row r="4" spans="2:20" x14ac:dyDescent="0.3">
      <c r="B4" cm="1">
        <f t="array" ref="B4:B17">TRANSPOSE(C3:P3)</f>
        <v>5.7194579774019717E-4</v>
      </c>
      <c r="C4">
        <f>_xlfn.COVARIANCE.S('Risk Premia'!$C$3:$C$74,'Risk Premia'!C3:C74)</f>
        <v>7.3438706307305597E-4</v>
      </c>
      <c r="D4">
        <f>_xlfn.COVARIANCE.S('Risk Premia'!$C$3:$C$74,'Risk Premia'!D3:D74)</f>
        <v>6.4713107632988903E-4</v>
      </c>
      <c r="E4">
        <f>_xlfn.COVARIANCE.S('Risk Premia'!$C$3:$C$74,'Risk Premia'!E3:E74)</f>
        <v>5.4717917435827019E-4</v>
      </c>
      <c r="F4">
        <f>_xlfn.COVARIANCE.S('Risk Premia'!$C$3:$C$74,'Risk Premia'!F3:F74)</f>
        <v>1.2339619470826712E-4</v>
      </c>
      <c r="G4">
        <f>_xlfn.COVARIANCE.S('Risk Premia'!$C$3:$C$74,'Risk Premia'!G3:G74)</f>
        <v>2.0982518138457817E-4</v>
      </c>
      <c r="H4">
        <f>_xlfn.COVARIANCE.S('Risk Premia'!$C$3:$C$74,'Risk Premia'!H3:H74)</f>
        <v>3.0398774506283248E-4</v>
      </c>
      <c r="I4">
        <f>_xlfn.COVARIANCE.S('Risk Premia'!$C$3:$C$74,'Risk Premia'!I3:I74)</f>
        <v>1.511866314066399E-4</v>
      </c>
      <c r="J4">
        <f>_xlfn.COVARIANCE.S('Risk Premia'!$C$3:$C$74,'Risk Premia'!J3:J74)</f>
        <v>4.2255681403624118E-4</v>
      </c>
      <c r="K4">
        <f>_xlfn.COVARIANCE.S('Risk Premia'!$C$3:$C$74,'Risk Premia'!K3:K74)</f>
        <v>1.0727784438263671E-3</v>
      </c>
      <c r="L4">
        <f>_xlfn.COVARIANCE.S('Risk Premia'!$C$3:$C$74,'Risk Premia'!L3:L74)</f>
        <v>4.65119331193345E-4</v>
      </c>
      <c r="M4">
        <f>_xlfn.COVARIANCE.S('Risk Premia'!$C$3:$C$74,'Risk Premia'!M3:M74)</f>
        <v>2.098275271250849E-4</v>
      </c>
      <c r="N4">
        <f>_xlfn.COVARIANCE.S('Risk Premia'!$C$3:$C$74,'Risk Premia'!N3:N74)</f>
        <v>7.8511999403378706E-4</v>
      </c>
      <c r="O4">
        <f>_xlfn.COVARIANCE.S('Risk Premia'!$C$3:$C$74,'Risk Premia'!O3:O74)</f>
        <v>3.5852566306977308E-4</v>
      </c>
      <c r="P4">
        <f>_xlfn.COVARIANCE.S('Risk Premia'!$C$3:$C$74,'Risk Premia'!P3:P74)</f>
        <v>8.2661690843662171E-5</v>
      </c>
      <c r="T4">
        <v>4.2387644141650624E-3</v>
      </c>
    </row>
    <row r="5" spans="2:20" x14ac:dyDescent="0.3">
      <c r="B5">
        <v>8.3452598732142321E-4</v>
      </c>
      <c r="C5" cm="1">
        <f t="array" ref="C5:C17">TRANSPOSE(D4:P4)</f>
        <v>6.4713107632988903E-4</v>
      </c>
      <c r="D5">
        <f>_xlfn.COVARIANCE.S('Risk Premia'!$D$3:$D$74,'Risk Premia'!D3:D74)</f>
        <v>1.5002253938135521E-3</v>
      </c>
      <c r="E5">
        <f>_xlfn.COVARIANCE.S('Risk Premia'!$D$3:$D$74,'Risk Premia'!E3:E74)</f>
        <v>8.4987815718689629E-4</v>
      </c>
      <c r="F5">
        <f>_xlfn.COVARIANCE.S('Risk Premia'!$D$3:$D$74,'Risk Premia'!F3:F74)</f>
        <v>3.0041924376338876E-5</v>
      </c>
      <c r="G5">
        <f>_xlfn.COVARIANCE.S('Risk Premia'!$D$3:$D$74,'Risk Premia'!G3:G74)</f>
        <v>2.0083458359746923E-4</v>
      </c>
      <c r="H5">
        <f>_xlfn.COVARIANCE.S('Risk Premia'!$D$3:$D$74,'Risk Premia'!H3:H74)</f>
        <v>2.953284284121877E-4</v>
      </c>
      <c r="I5">
        <f>_xlfn.COVARIANCE.S('Risk Premia'!$D$3:$D$74,'Risk Premia'!I3:I74)</f>
        <v>1.1796669797132529E-5</v>
      </c>
      <c r="J5">
        <f>_xlfn.COVARIANCE.S('Risk Premia'!$D$3:$D$74,'Risk Premia'!J3:J74)</f>
        <v>5.2061922496770587E-4</v>
      </c>
      <c r="K5">
        <f>_xlfn.COVARIANCE.S('Risk Premia'!$D$3:$D$74,'Risk Premia'!K3:K74)</f>
        <v>1.5022557575826707E-3</v>
      </c>
      <c r="L5">
        <f>_xlfn.COVARIANCE.S('Risk Premia'!$D$3:$D$74,'Risk Premia'!L3:L74)</f>
        <v>8.0328038720246721E-4</v>
      </c>
      <c r="M5">
        <f>_xlfn.COVARIANCE.S('Risk Premia'!$D$3:$D$74,'Risk Premia'!M3:M74)</f>
        <v>1.7743714551849432E-4</v>
      </c>
      <c r="N5">
        <f>_xlfn.COVARIANCE.S('Risk Premia'!$D$3:$D$74,'Risk Premia'!N3:N74)</f>
        <v>1.2895208007148754E-3</v>
      </c>
      <c r="O5">
        <f>_xlfn.COVARIANCE.S('Risk Premia'!$D$3:$D$74,'Risk Premia'!O3:O74)</f>
        <v>4.8767075048929945E-4</v>
      </c>
      <c r="P5">
        <f>_xlfn.COVARIANCE.S('Risk Premia'!$D$3:$D$74,'Risk Premia'!P3:P74)</f>
        <v>1.0937616404185088E-5</v>
      </c>
      <c r="T5">
        <v>2.9593211321234112E-3</v>
      </c>
    </row>
    <row r="6" spans="2:20" x14ac:dyDescent="0.3">
      <c r="B6">
        <v>6.5839478287096779E-4</v>
      </c>
      <c r="C6">
        <v>5.4717917435827019E-4</v>
      </c>
      <c r="D6" cm="1">
        <f t="array" ref="D6:D17">TRANSPOSE(E5:P5)</f>
        <v>8.4987815718689629E-4</v>
      </c>
      <c r="E6">
        <f>_xlfn.COVARIANCE.S('Risk Premia'!$E$3:$E$74,'Risk Premia'!E3:E74)</f>
        <v>1.2697657290620396E-3</v>
      </c>
      <c r="F6">
        <f>_xlfn.COVARIANCE.S('Risk Premia'!$E$3:$E$74,'Risk Premia'!F3:F74)</f>
        <v>1.57494520594927E-4</v>
      </c>
      <c r="G6">
        <f>_xlfn.COVARIANCE.S('Risk Premia'!$E$3:$E$74,'Risk Premia'!G3:G74)</f>
        <v>1.817300400359588E-4</v>
      </c>
      <c r="H6">
        <f>_xlfn.COVARIANCE.S('Risk Premia'!$E$3:$E$74,'Risk Premia'!H3:H74)</f>
        <v>5.0688373380310136E-4</v>
      </c>
      <c r="I6">
        <f>_xlfn.COVARIANCE.S('Risk Premia'!$E$3:$E$74,'Risk Premia'!I3:I74)</f>
        <v>3.5346072044092185E-5</v>
      </c>
      <c r="J6">
        <f>_xlfn.COVARIANCE.S('Risk Premia'!$E$3:$E$74,'Risk Premia'!J3:J74)</f>
        <v>5.481716994173518E-4</v>
      </c>
      <c r="K6">
        <f>_xlfn.COVARIANCE.S('Risk Premia'!$E$3:$E$74,'Risk Premia'!K3:K74)</f>
        <v>1.003174304821359E-3</v>
      </c>
      <c r="L6">
        <f>_xlfn.COVARIANCE.S('Risk Premia'!$E$3:$E$74,'Risk Premia'!L3:L74)</f>
        <v>6.0693835558354721E-4</v>
      </c>
      <c r="M6">
        <f>_xlfn.COVARIANCE.S('Risk Premia'!$E$3:$E$74,'Risk Premia'!M3:M74)</f>
        <v>3.4561643407852294E-4</v>
      </c>
      <c r="N6">
        <f>_xlfn.COVARIANCE.S('Risk Premia'!$E$3:$E$74,'Risk Premia'!N3:N74)</f>
        <v>7.0487096439852839E-4</v>
      </c>
      <c r="O6">
        <f>_xlfn.COVARIANCE.S('Risk Premia'!$E$3:$E$74,'Risk Premia'!O3:O74)</f>
        <v>6.6156872929104148E-4</v>
      </c>
      <c r="P6">
        <f>_xlfn.COVARIANCE.S('Risk Premia'!$E$3:$E$74,'Risk Premia'!P3:P74)</f>
        <v>3.0189690809674056E-4</v>
      </c>
      <c r="T6">
        <v>6.8461827454446376E-3</v>
      </c>
    </row>
    <row r="7" spans="2:20" x14ac:dyDescent="0.3">
      <c r="B7">
        <v>2.9237959048967853E-4</v>
      </c>
      <c r="C7">
        <v>1.2339619470826712E-4</v>
      </c>
      <c r="D7">
        <v>3.0041924376338876E-5</v>
      </c>
      <c r="E7" cm="1">
        <f t="array" ref="E7:E17">TRANSPOSE(F6:P6)</f>
        <v>1.57494520594927E-4</v>
      </c>
      <c r="F7">
        <f>_xlfn.COVARIANCE.S('Risk Premia'!$F$3:$F$74,'Risk Premia'!F3:F74)</f>
        <v>4.7330820570205617E-4</v>
      </c>
      <c r="G7">
        <f>_xlfn.COVARIANCE.S('Risk Premia'!$F$3:$F$74,'Risk Premia'!G3:G74)</f>
        <v>1.8995366680338776E-4</v>
      </c>
      <c r="H7">
        <f>_xlfn.COVARIANCE.S('Risk Premia'!$F$3:$F$74,'Risk Premia'!H3:H74)</f>
        <v>2.6956128810833339E-4</v>
      </c>
      <c r="I7">
        <f>_xlfn.COVARIANCE.S('Risk Premia'!$F$3:$F$74,'Risk Premia'!I3:I74)</f>
        <v>2.0124522536383793E-4</v>
      </c>
      <c r="J7">
        <f>_xlfn.COVARIANCE.S('Risk Premia'!$F$3:$F$74,'Risk Premia'!J3:J74)</f>
        <v>4.0351693916034327E-4</v>
      </c>
      <c r="K7">
        <f>_xlfn.COVARIANCE.S('Risk Premia'!$F$3:$F$74,'Risk Premia'!K3:K74)</f>
        <v>-4.2322196515387986E-5</v>
      </c>
      <c r="L7">
        <f>_xlfn.COVARIANCE.S('Risk Premia'!$F$3:$F$74,'Risk Premia'!L3:L74)</f>
        <v>2.1104773226868572E-4</v>
      </c>
      <c r="M7">
        <f>_xlfn.COVARIANCE.S('Risk Premia'!$F$3:$F$74,'Risk Premia'!M3:M74)</f>
        <v>3.3971805195382268E-4</v>
      </c>
      <c r="N7">
        <f>_xlfn.COVARIANCE.S('Risk Premia'!$F$3:$F$74,'Risk Premia'!N3:N74)</f>
        <v>-4.3585703888453387E-5</v>
      </c>
      <c r="O7">
        <f>_xlfn.COVARIANCE.S('Risk Premia'!$F$3:$F$74,'Risk Premia'!O3:O74)</f>
        <v>2.9268536211500892E-4</v>
      </c>
      <c r="P7">
        <f>_xlfn.COVARIANCE.S('Risk Premia'!$F$3:$F$74,'Risk Premia'!P3:P74)</f>
        <v>2.9087179451236665E-4</v>
      </c>
      <c r="T7">
        <v>-3.8308031245313509E-4</v>
      </c>
    </row>
    <row r="8" spans="2:20" x14ac:dyDescent="0.3">
      <c r="B8">
        <v>3.0888847289165184E-4</v>
      </c>
      <c r="C8">
        <v>2.0982518138457817E-4</v>
      </c>
      <c r="D8">
        <v>2.0083458359746923E-4</v>
      </c>
      <c r="E8">
        <v>1.817300400359588E-4</v>
      </c>
      <c r="F8" cm="1">
        <f t="array" ref="F8:F17">TRANSPOSE(G7:P7)</f>
        <v>1.8995366680338776E-4</v>
      </c>
      <c r="G8">
        <f>_xlfn.COVARIANCE.S('Risk Premia'!$G$3:$G$74,'Risk Premia'!G3:G74)</f>
        <v>5.9321707578335197E-4</v>
      </c>
      <c r="H8">
        <f>_xlfn.COVARIANCE.S('Risk Premia'!$G$3:$G$74,'Risk Premia'!H3:H74)</f>
        <v>1.8685512294035959E-4</v>
      </c>
      <c r="I8">
        <f>_xlfn.COVARIANCE.S('Risk Premia'!$G$3:$G$74,'Risk Premia'!I3:I74)</f>
        <v>2.4595088305014368E-4</v>
      </c>
      <c r="J8">
        <f>_xlfn.COVARIANCE.S('Risk Premia'!$G$3:$G$74,'Risk Premia'!J3:J74)</f>
        <v>5.8677416481765851E-5</v>
      </c>
      <c r="K8">
        <f>_xlfn.COVARIANCE.S('Risk Premia'!$G$3:$G$74,'Risk Premia'!K3:K74)</f>
        <v>3.0077381177839494E-4</v>
      </c>
      <c r="L8">
        <f>_xlfn.COVARIANCE.S('Risk Premia'!$G$3:$G$74,'Risk Premia'!L3:L74)</f>
        <v>2.5846334015818228E-4</v>
      </c>
      <c r="M8">
        <f>_xlfn.COVARIANCE.S('Risk Premia'!$G$3:$G$74,'Risk Premia'!M3:M74)</f>
        <v>1.517859584607025E-4</v>
      </c>
      <c r="N8">
        <f>_xlfn.COVARIANCE.S('Risk Premia'!$G$3:$G$74,'Risk Premia'!N3:N74)</f>
        <v>3.1286429453011069E-4</v>
      </c>
      <c r="O8">
        <f>_xlfn.COVARIANCE.S('Risk Premia'!$G$3:$G$74,'Risk Premia'!O3:O74)</f>
        <v>2.391307213145629E-4</v>
      </c>
      <c r="P8">
        <f>_xlfn.COVARIANCE.S('Risk Premia'!$G$3:$G$74,'Risk Premia'!P3:P74)</f>
        <v>-1.6367520196178828E-5</v>
      </c>
      <c r="T8">
        <v>3.7483239719811631E-3</v>
      </c>
    </row>
    <row r="9" spans="2:20" x14ac:dyDescent="0.3">
      <c r="B9">
        <v>4.068734621187392E-4</v>
      </c>
      <c r="C9">
        <v>3.0398774506283248E-4</v>
      </c>
      <c r="D9">
        <v>2.953284284121877E-4</v>
      </c>
      <c r="E9">
        <v>5.0688373380310136E-4</v>
      </c>
      <c r="F9">
        <v>2.6956128810833339E-4</v>
      </c>
      <c r="G9" cm="1">
        <f t="array" ref="G9:G17">TRANSPOSE(H8:P8)</f>
        <v>1.8685512294035959E-4</v>
      </c>
      <c r="H9">
        <f>_xlfn.COVARIANCE.S('Risk Premia'!$H$3:$H$74,'Risk Premia'!H3:H74)</f>
        <v>1.1780462738849773E-3</v>
      </c>
      <c r="I9">
        <f>_xlfn.COVARIANCE.S('Risk Premia'!$H$3:$H$74,'Risk Premia'!I3:I74)</f>
        <v>1.5384240352183751E-4</v>
      </c>
      <c r="J9">
        <f>_xlfn.COVARIANCE.S('Risk Premia'!$H$3:$H$74,'Risk Premia'!J3:J74)</f>
        <v>5.6920691119367428E-4</v>
      </c>
      <c r="K9">
        <f>_xlfn.COVARIANCE.S('Risk Premia'!$H$3:$H$74,'Risk Premia'!K3:K74)</f>
        <v>6.8894004381962303E-4</v>
      </c>
      <c r="L9">
        <f>_xlfn.COVARIANCE.S('Risk Premia'!$H$3:$H$74,'Risk Premia'!L3:L74)</f>
        <v>1.0290555109248943E-3</v>
      </c>
      <c r="M9">
        <f>_xlfn.COVARIANCE.S('Risk Premia'!$H$3:$H$74,'Risk Premia'!M3:M74)</f>
        <v>2.8851265308376317E-4</v>
      </c>
      <c r="N9">
        <f>_xlfn.COVARIANCE.S('Risk Premia'!$H$3:$H$74,'Risk Premia'!N3:N74)</f>
        <v>7.0912226193560793E-4</v>
      </c>
      <c r="O9">
        <f>_xlfn.COVARIANCE.S('Risk Premia'!$H$3:$H$74,'Risk Premia'!O3:O74)</f>
        <v>1.2416637126683474E-3</v>
      </c>
      <c r="P9">
        <f>_xlfn.COVARIANCE.S('Risk Premia'!$H$3:$H$74,'Risk Premia'!P3:P74)</f>
        <v>7.7118979883048584E-4</v>
      </c>
      <c r="T9">
        <v>2.5534066771249176E-3</v>
      </c>
    </row>
    <row r="10" spans="2:20" x14ac:dyDescent="0.3">
      <c r="B10">
        <v>2.6025225722741015E-4</v>
      </c>
      <c r="C10">
        <v>1.511866314066399E-4</v>
      </c>
      <c r="D10">
        <v>1.1796669797132529E-5</v>
      </c>
      <c r="E10">
        <v>3.5346072044092185E-5</v>
      </c>
      <c r="F10">
        <v>2.0124522536383793E-4</v>
      </c>
      <c r="G10">
        <v>2.4595088305014368E-4</v>
      </c>
      <c r="H10" cm="1">
        <f t="array" ref="H10:H17">TRANSPOSE(I9:P9)</f>
        <v>1.5384240352183751E-4</v>
      </c>
      <c r="I10">
        <f>_xlfn.COVARIANCE.S('Risk Premia'!$I$3:$I$74,'Risk Premia'!I3:I74)</f>
        <v>4.5720553930785274E-4</v>
      </c>
      <c r="J10">
        <f>_xlfn.COVARIANCE.S('Risk Premia'!$I$3:$I$74,'Risk Premia'!J3:J74)</f>
        <v>1.4380340991072886E-4</v>
      </c>
      <c r="K10">
        <f>_xlfn.COVARIANCE.S('Risk Premia'!$I$3:$I$74,'Risk Premia'!K3:K74)</f>
        <v>5.3778032827324144E-5</v>
      </c>
      <c r="L10">
        <f>_xlfn.COVARIANCE.S('Risk Premia'!$I$3:$I$74,'Risk Premia'!L3:L74)</f>
        <v>2.6472775183048001E-4</v>
      </c>
      <c r="M10">
        <f>_xlfn.COVARIANCE.S('Risk Premia'!$I$3:$I$74,'Risk Premia'!M3:M74)</f>
        <v>1.9494220322862417E-4</v>
      </c>
      <c r="N10">
        <f>_xlfn.COVARIANCE.S('Risk Premia'!$I$3:$I$74,'Risk Premia'!N3:N74)</f>
        <v>1.5832417309945118E-5</v>
      </c>
      <c r="O10">
        <f>_xlfn.COVARIANCE.S('Risk Premia'!$I$3:$I$74,'Risk Premia'!O3:O74)</f>
        <v>2.1492914972531346E-4</v>
      </c>
      <c r="P10">
        <f>_xlfn.COVARIANCE.S('Risk Premia'!$I$3:$I$74,'Risk Premia'!P3:P74)</f>
        <v>1.0285005107462046E-4</v>
      </c>
      <c r="T10">
        <v>-1.6487180978510714E-3</v>
      </c>
    </row>
    <row r="11" spans="2:20" x14ac:dyDescent="0.3">
      <c r="B11">
        <v>6.8566128706508888E-4</v>
      </c>
      <c r="C11">
        <v>4.2255681403624118E-4</v>
      </c>
      <c r="D11">
        <v>5.2061922496770587E-4</v>
      </c>
      <c r="E11">
        <v>5.481716994173518E-4</v>
      </c>
      <c r="F11">
        <v>4.0351693916034327E-4</v>
      </c>
      <c r="G11">
        <v>5.8677416481765851E-5</v>
      </c>
      <c r="H11">
        <v>5.6920691119367428E-4</v>
      </c>
      <c r="I11" cm="1">
        <f t="array" ref="I11:I17">TRANSPOSE(J10:P10)</f>
        <v>1.4380340991072886E-4</v>
      </c>
      <c r="J11">
        <f>_xlfn.COVARIANCE.S('Risk Premia'!$J$3:$J$74,'Risk Premia'!J3:J74)</f>
        <v>2.9995926292705967E-3</v>
      </c>
      <c r="K11">
        <f>_xlfn.COVARIANCE.S('Risk Premia'!$J$3:$J$74,'Risk Premia'!K3:K74)</f>
        <v>1.0139577236943085E-3</v>
      </c>
      <c r="L11">
        <f>_xlfn.COVARIANCE.S('Risk Premia'!$J$3:$J$74,'Risk Premia'!L3:L74)</f>
        <v>8.4190829185503313E-4</v>
      </c>
      <c r="M11">
        <f>_xlfn.COVARIANCE.S('Risk Premia'!$J$3:$J$74,'Risk Premia'!M3:M74)</f>
        <v>3.7673115846444469E-4</v>
      </c>
      <c r="N11">
        <f>_xlfn.COVARIANCE.S('Risk Premia'!$J$3:$J$74,'Risk Premia'!N3:N74)</f>
        <v>5.8111111336386857E-4</v>
      </c>
      <c r="O11">
        <f>_xlfn.COVARIANCE.S('Risk Premia'!$J$3:$J$74,'Risk Premia'!O3:O74)</f>
        <v>6.8843664243284526E-4</v>
      </c>
      <c r="P11">
        <f>_xlfn.COVARIANCE.S('Risk Premia'!$J$3:$J$74,'Risk Premia'!P3:P74)</f>
        <v>4.8742565818843435E-4</v>
      </c>
      <c r="T11">
        <v>-5.3048098847007273E-3</v>
      </c>
    </row>
    <row r="12" spans="2:20" x14ac:dyDescent="0.3">
      <c r="B12">
        <v>1.1574873989363933E-3</v>
      </c>
      <c r="C12">
        <v>1.0727784438263671E-3</v>
      </c>
      <c r="D12">
        <v>1.5022557575826707E-3</v>
      </c>
      <c r="E12">
        <v>1.003174304821359E-3</v>
      </c>
      <c r="F12">
        <v>-4.2322196515387986E-5</v>
      </c>
      <c r="G12">
        <v>3.0077381177839494E-4</v>
      </c>
      <c r="H12">
        <v>6.8894004381962303E-4</v>
      </c>
      <c r="I12">
        <v>5.3778032827324144E-5</v>
      </c>
      <c r="J12" cm="1">
        <f t="array" ref="J12:J17">TRANSPOSE(K11:P11)</f>
        <v>1.0139577236943085E-3</v>
      </c>
      <c r="K12">
        <f>_xlfn.COVARIANCE.S('Risk Premia'!$K$3:$K$74,'Risk Premia'!K3:K74)</f>
        <v>3.6983185899723803E-3</v>
      </c>
      <c r="L12">
        <f>_xlfn.COVARIANCE.S('Risk Premia'!$K$3:$K$74,'Risk Premia'!L3:L74)</f>
        <v>9.1792575495748638E-4</v>
      </c>
      <c r="M12">
        <f>_xlfn.COVARIANCE.S('Risk Premia'!$K$3:$K$74,'Risk Premia'!M3:M74)</f>
        <v>3.7240806901280433E-4</v>
      </c>
      <c r="N12">
        <f>_xlfn.COVARIANCE.S('Risk Premia'!$K$3:$K$74,'Risk Premia'!N3:N74)</f>
        <v>1.953762503566141E-3</v>
      </c>
      <c r="O12">
        <f>_xlfn.COVARIANCE.S('Risk Premia'!$K$3:$K$74,'Risk Premia'!O3:O74)</f>
        <v>8.4554020323311674E-4</v>
      </c>
      <c r="P12">
        <f>_xlfn.COVARIANCE.S('Risk Premia'!$K$3:$K$74,'Risk Premia'!P3:P74)</f>
        <v>9.3490871125755313E-5</v>
      </c>
      <c r="T12">
        <v>1.837784806592473E-2</v>
      </c>
    </row>
    <row r="13" spans="2:20" x14ac:dyDescent="0.3">
      <c r="B13">
        <v>6.9438778133475425E-4</v>
      </c>
      <c r="C13">
        <v>4.65119331193345E-4</v>
      </c>
      <c r="D13">
        <v>8.0328038720246721E-4</v>
      </c>
      <c r="E13">
        <v>6.0693835558354721E-4</v>
      </c>
      <c r="F13">
        <v>2.1104773226868572E-4</v>
      </c>
      <c r="G13">
        <v>2.5846334015818228E-4</v>
      </c>
      <c r="H13">
        <v>1.0290555109248943E-3</v>
      </c>
      <c r="I13">
        <v>2.6472775183048001E-4</v>
      </c>
      <c r="J13">
        <v>8.4190829185503313E-4</v>
      </c>
      <c r="K13" cm="1">
        <f t="array" ref="K13:K17">TRANSPOSE(L12:P12)</f>
        <v>9.1792575495748638E-4</v>
      </c>
      <c r="L13">
        <f>_xlfn.COVARIANCE.S('Risk Premia'!$L$3:$L$74,'Risk Premia'!L3:L74)</f>
        <v>1.9018190253005157E-3</v>
      </c>
      <c r="M13">
        <f>_xlfn.COVARIANCE.S('Risk Premia'!$L$3:$L$74,'Risk Premia'!M3:M74)</f>
        <v>4.5204447618684227E-5</v>
      </c>
      <c r="N13">
        <f>_xlfn.COVARIANCE.S('Risk Premia'!$L$3:$L$74,'Risk Premia'!N3:N74)</f>
        <v>9.9441795963354195E-4</v>
      </c>
      <c r="O13">
        <f>_xlfn.COVARIANCE.S('Risk Premia'!$L$3:$L$74,'Risk Premia'!O3:O74)</f>
        <v>1.2325187933214697E-3</v>
      </c>
      <c r="P13">
        <f>_xlfn.COVARIANCE.S('Risk Premia'!$L$3:$L$74,'Risk Premia'!P3:P74)</f>
        <v>7.6362509992607694E-4</v>
      </c>
      <c r="T13">
        <v>-3.9816366563964452E-3</v>
      </c>
    </row>
    <row r="14" spans="2:20" x14ac:dyDescent="0.3">
      <c r="B14">
        <v>4.233997475659586E-4</v>
      </c>
      <c r="C14">
        <v>2.098275271250849E-4</v>
      </c>
      <c r="D14">
        <v>1.7743714551849432E-4</v>
      </c>
      <c r="E14">
        <v>3.4561643407852294E-4</v>
      </c>
      <c r="F14">
        <v>3.3971805195382268E-4</v>
      </c>
      <c r="G14">
        <v>1.517859584607025E-4</v>
      </c>
      <c r="H14">
        <v>2.8851265308376317E-4</v>
      </c>
      <c r="I14">
        <v>1.9494220322862417E-4</v>
      </c>
      <c r="J14">
        <v>3.7673115846444469E-4</v>
      </c>
      <c r="K14">
        <v>3.7240806901280433E-4</v>
      </c>
      <c r="L14" cm="1">
        <f t="array" ref="L14:L17">TRANSPOSE(M13:P13)</f>
        <v>4.5204447618684227E-5</v>
      </c>
      <c r="M14">
        <f>_xlfn.COVARIANCE.S('Risk Premia'!$M$3:$M$74,'Risk Premia'!M3:M74)</f>
        <v>9.5916449774519487E-4</v>
      </c>
      <c r="N14">
        <f>_xlfn.COVARIANCE.S('Risk Premia'!$M$3:$M$74,'Risk Premia'!N3:N74)</f>
        <v>2.0228989783375195E-4</v>
      </c>
      <c r="O14">
        <f>_xlfn.COVARIANCE.S('Risk Premia'!$M$3:$M$74,'Risk Premia'!O3:O74)</f>
        <v>3.0786883055711672E-4</v>
      </c>
      <c r="P14">
        <f>_xlfn.COVARIANCE.S('Risk Premia'!$M$3:$M$74,'Risk Premia'!P3:P74)</f>
        <v>1.9726529004050809E-4</v>
      </c>
      <c r="T14">
        <v>-4.8991968941601164E-3</v>
      </c>
    </row>
    <row r="15" spans="2:20" x14ac:dyDescent="0.3">
      <c r="B15">
        <v>7.5567813672997638E-4</v>
      </c>
      <c r="C15">
        <v>7.8511999403378706E-4</v>
      </c>
      <c r="D15">
        <v>1.2895208007148754E-3</v>
      </c>
      <c r="E15">
        <v>7.0487096439852839E-4</v>
      </c>
      <c r="F15">
        <v>-4.3585703888453387E-5</v>
      </c>
      <c r="G15">
        <v>3.1286429453011069E-4</v>
      </c>
      <c r="H15">
        <v>7.0912226193560793E-4</v>
      </c>
      <c r="I15">
        <v>1.5832417309945118E-5</v>
      </c>
      <c r="J15">
        <v>5.8111111336386857E-4</v>
      </c>
      <c r="K15">
        <v>1.953762503566141E-3</v>
      </c>
      <c r="L15">
        <v>9.9441795963354195E-4</v>
      </c>
      <c r="M15" cm="1">
        <f t="array" ref="M15:M17">TRANSPOSE(N14:P14)</f>
        <v>2.0228989783375195E-4</v>
      </c>
      <c r="N15">
        <f>_xlfn.COVARIANCE.S('Risk Premia'!$N$3:$N$74,'Risk Premia'!N3:N74)</f>
        <v>3.0305003727953269E-3</v>
      </c>
      <c r="O15">
        <f>_xlfn.COVARIANCE.S('Risk Premia'!$N$3:$N$74,'Risk Premia'!O3:O74)</f>
        <v>7.5301058294873619E-4</v>
      </c>
      <c r="P15">
        <f>_xlfn.COVARIANCE.S('Risk Premia'!$N$3:$N$74,'Risk Premia'!P3:P74)</f>
        <v>-1.6430911849972762E-4</v>
      </c>
      <c r="T15">
        <v>3.905123979843573E-3</v>
      </c>
    </row>
    <row r="16" spans="2:20" x14ac:dyDescent="0.3">
      <c r="B16">
        <v>6.0905139988294489E-4</v>
      </c>
      <c r="C16">
        <v>3.5852566306977308E-4</v>
      </c>
      <c r="D16">
        <v>4.8767075048929945E-4</v>
      </c>
      <c r="E16">
        <v>6.6156872929104148E-4</v>
      </c>
      <c r="F16">
        <v>2.9268536211500892E-4</v>
      </c>
      <c r="G16">
        <v>2.391307213145629E-4</v>
      </c>
      <c r="H16">
        <v>1.2416637126683474E-3</v>
      </c>
      <c r="I16">
        <v>2.1492914972531346E-4</v>
      </c>
      <c r="J16">
        <v>6.8843664243284526E-4</v>
      </c>
      <c r="K16">
        <v>8.4554020323311674E-4</v>
      </c>
      <c r="L16">
        <v>1.2325187933214697E-3</v>
      </c>
      <c r="M16">
        <v>3.0786883055711672E-4</v>
      </c>
      <c r="N16" cm="1">
        <f t="array" ref="N16:N17">TRANSPOSE(O15:P15)</f>
        <v>7.5301058294873619E-4</v>
      </c>
      <c r="O16">
        <f>_xlfn.COVARIANCE.S('Risk Premia'!$O$3:$O$74,'Risk Premia'!O3:O74)</f>
        <v>1.578692669344459E-3</v>
      </c>
      <c r="P16">
        <f>_xlfn.COVARIANCE.S('Risk Premia'!$O$3:$O$74,'Risk Premia'!P3:P74)</f>
        <v>9.8683116320954405E-4</v>
      </c>
      <c r="T16">
        <v>1.8058001867923238E-4</v>
      </c>
    </row>
    <row r="17" spans="2:20" x14ac:dyDescent="0.3">
      <c r="B17">
        <v>2.8552399247661536E-4</v>
      </c>
      <c r="C17">
        <v>8.2661690843662171E-5</v>
      </c>
      <c r="D17">
        <v>1.0937616404185088E-5</v>
      </c>
      <c r="E17">
        <v>3.0189690809674056E-4</v>
      </c>
      <c r="F17">
        <v>2.9087179451236665E-4</v>
      </c>
      <c r="G17">
        <v>-1.6367520196178828E-5</v>
      </c>
      <c r="H17">
        <v>7.7118979883048584E-4</v>
      </c>
      <c r="I17">
        <v>1.0285005107462046E-4</v>
      </c>
      <c r="J17">
        <v>4.8742565818843435E-4</v>
      </c>
      <c r="K17">
        <v>9.3490871125755313E-5</v>
      </c>
      <c r="L17">
        <v>7.6362509992607694E-4</v>
      </c>
      <c r="M17">
        <v>1.9726529004050809E-4</v>
      </c>
      <c r="N17">
        <v>-1.6430911849972762E-4</v>
      </c>
      <c r="O17">
        <f>P16</f>
        <v>9.8683116320954405E-4</v>
      </c>
      <c r="P17">
        <f>_xlfn.COVARIANCE.S('Risk Premia'!$P$3:$P$74,'Risk Premia'!P3:P74)</f>
        <v>1.6071810755908689E-3</v>
      </c>
      <c r="T17">
        <v>7.4602789713039462E-4</v>
      </c>
    </row>
    <row r="20" spans="2:20" x14ac:dyDescent="0.3">
      <c r="B20" t="s">
        <v>24</v>
      </c>
      <c r="T20" t="s">
        <v>25</v>
      </c>
    </row>
    <row r="21" spans="2:20" x14ac:dyDescent="0.3">
      <c r="B21">
        <f>2*B3</f>
        <v>2.5196504596056621E-3</v>
      </c>
      <c r="C21">
        <f t="shared" ref="C21:P21" si="0">2*C3</f>
        <v>1.1438915954803943E-3</v>
      </c>
      <c r="D21">
        <f t="shared" si="0"/>
        <v>1.6690519746428464E-3</v>
      </c>
      <c r="E21">
        <f t="shared" si="0"/>
        <v>1.3167895657419356E-3</v>
      </c>
      <c r="F21">
        <f t="shared" si="0"/>
        <v>5.8475918097935706E-4</v>
      </c>
      <c r="G21">
        <f t="shared" si="0"/>
        <v>6.1777694578330367E-4</v>
      </c>
      <c r="H21">
        <f t="shared" si="0"/>
        <v>8.1374692423747839E-4</v>
      </c>
      <c r="I21">
        <f t="shared" si="0"/>
        <v>5.205045144548203E-4</v>
      </c>
      <c r="J21">
        <f t="shared" si="0"/>
        <v>1.3713225741301778E-3</v>
      </c>
      <c r="K21">
        <f t="shared" si="0"/>
        <v>2.3149747978727865E-3</v>
      </c>
      <c r="L21">
        <f t="shared" si="0"/>
        <v>1.3887755626695085E-3</v>
      </c>
      <c r="M21">
        <f t="shared" si="0"/>
        <v>8.467994951319172E-4</v>
      </c>
      <c r="N21">
        <f t="shared" si="0"/>
        <v>1.5113562734599528E-3</v>
      </c>
      <c r="O21">
        <f t="shared" si="0"/>
        <v>1.2181027997658898E-3</v>
      </c>
      <c r="P21">
        <f t="shared" si="0"/>
        <v>5.7104798495323072E-4</v>
      </c>
      <c r="Q21">
        <v>-1</v>
      </c>
      <c r="R21">
        <v>-1</v>
      </c>
      <c r="T21">
        <v>0</v>
      </c>
    </row>
    <row r="22" spans="2:20" x14ac:dyDescent="0.3">
      <c r="B22">
        <f t="shared" ref="B22:P22" si="1">2*B4</f>
        <v>1.1438915954803943E-3</v>
      </c>
      <c r="C22">
        <f t="shared" si="1"/>
        <v>1.4687741261461119E-3</v>
      </c>
      <c r="D22">
        <f t="shared" si="1"/>
        <v>1.2942621526597781E-3</v>
      </c>
      <c r="E22">
        <f t="shared" si="1"/>
        <v>1.0943583487165404E-3</v>
      </c>
      <c r="F22">
        <f t="shared" si="1"/>
        <v>2.4679238941653425E-4</v>
      </c>
      <c r="G22">
        <f t="shared" si="1"/>
        <v>4.1965036276915633E-4</v>
      </c>
      <c r="H22">
        <f t="shared" si="1"/>
        <v>6.0797549012566495E-4</v>
      </c>
      <c r="I22">
        <f t="shared" si="1"/>
        <v>3.0237326281327981E-4</v>
      </c>
      <c r="J22">
        <f t="shared" si="1"/>
        <v>8.4511362807248235E-4</v>
      </c>
      <c r="K22">
        <f t="shared" si="1"/>
        <v>2.1455568876527342E-3</v>
      </c>
      <c r="L22">
        <f t="shared" si="1"/>
        <v>9.3023866238668999E-4</v>
      </c>
      <c r="M22">
        <f t="shared" si="1"/>
        <v>4.1965505425016979E-4</v>
      </c>
      <c r="N22">
        <f t="shared" si="1"/>
        <v>1.5702399880675741E-3</v>
      </c>
      <c r="O22">
        <f t="shared" si="1"/>
        <v>7.1705132613954616E-4</v>
      </c>
      <c r="P22">
        <f t="shared" si="1"/>
        <v>1.6532338168732434E-4</v>
      </c>
      <c r="Q22">
        <v>-1</v>
      </c>
      <c r="R22">
        <v>0</v>
      </c>
      <c r="T22">
        <v>0</v>
      </c>
    </row>
    <row r="23" spans="2:20" x14ac:dyDescent="0.3">
      <c r="B23">
        <f t="shared" ref="B23:P23" si="2">2*B5</f>
        <v>1.6690519746428464E-3</v>
      </c>
      <c r="C23">
        <f t="shared" si="2"/>
        <v>1.2942621526597781E-3</v>
      </c>
      <c r="D23">
        <f t="shared" si="2"/>
        <v>3.0004507876271042E-3</v>
      </c>
      <c r="E23">
        <f t="shared" si="2"/>
        <v>1.6997563143737926E-3</v>
      </c>
      <c r="F23">
        <f t="shared" si="2"/>
        <v>6.0083848752677753E-5</v>
      </c>
      <c r="G23">
        <f t="shared" si="2"/>
        <v>4.0166916719493846E-4</v>
      </c>
      <c r="H23">
        <f t="shared" si="2"/>
        <v>5.906568568243754E-4</v>
      </c>
      <c r="I23">
        <f t="shared" si="2"/>
        <v>2.3593339594265058E-5</v>
      </c>
      <c r="J23">
        <f t="shared" si="2"/>
        <v>1.0412384499354117E-3</v>
      </c>
      <c r="K23">
        <f t="shared" si="2"/>
        <v>3.0045115151653414E-3</v>
      </c>
      <c r="L23">
        <f t="shared" si="2"/>
        <v>1.6065607744049344E-3</v>
      </c>
      <c r="M23">
        <f t="shared" si="2"/>
        <v>3.5487429103698865E-4</v>
      </c>
      <c r="N23">
        <f t="shared" si="2"/>
        <v>2.5790416014297509E-3</v>
      </c>
      <c r="O23">
        <f t="shared" si="2"/>
        <v>9.7534150097859889E-4</v>
      </c>
      <c r="P23">
        <f t="shared" si="2"/>
        <v>2.1875232808370177E-5</v>
      </c>
      <c r="Q23">
        <v>-1</v>
      </c>
      <c r="R23">
        <v>0</v>
      </c>
      <c r="T23">
        <v>0</v>
      </c>
    </row>
    <row r="24" spans="2:20" x14ac:dyDescent="0.3">
      <c r="B24">
        <f t="shared" ref="B24:P24" si="3">2*B6</f>
        <v>1.3167895657419356E-3</v>
      </c>
      <c r="C24">
        <f t="shared" si="3"/>
        <v>1.0943583487165404E-3</v>
      </c>
      <c r="D24">
        <f t="shared" si="3"/>
        <v>1.6997563143737926E-3</v>
      </c>
      <c r="E24">
        <f t="shared" si="3"/>
        <v>2.5395314581240793E-3</v>
      </c>
      <c r="F24">
        <f t="shared" si="3"/>
        <v>3.1498904118985399E-4</v>
      </c>
      <c r="G24">
        <f t="shared" si="3"/>
        <v>3.634600800719176E-4</v>
      </c>
      <c r="H24">
        <f t="shared" si="3"/>
        <v>1.0137674676062027E-3</v>
      </c>
      <c r="I24">
        <f t="shared" si="3"/>
        <v>7.069214408818437E-5</v>
      </c>
      <c r="J24">
        <f t="shared" si="3"/>
        <v>1.0963433988347036E-3</v>
      </c>
      <c r="K24">
        <f t="shared" si="3"/>
        <v>2.0063486096427181E-3</v>
      </c>
      <c r="L24">
        <f t="shared" si="3"/>
        <v>1.2138767111670944E-3</v>
      </c>
      <c r="M24">
        <f t="shared" si="3"/>
        <v>6.9123286815704588E-4</v>
      </c>
      <c r="N24">
        <f t="shared" si="3"/>
        <v>1.4097419287970568E-3</v>
      </c>
      <c r="O24">
        <f t="shared" si="3"/>
        <v>1.323137458582083E-3</v>
      </c>
      <c r="P24">
        <f t="shared" si="3"/>
        <v>6.0379381619348111E-4</v>
      </c>
      <c r="Q24">
        <v>-1</v>
      </c>
      <c r="R24">
        <v>0</v>
      </c>
      <c r="T24">
        <v>0</v>
      </c>
    </row>
    <row r="25" spans="2:20" x14ac:dyDescent="0.3">
      <c r="B25">
        <f t="shared" ref="B25:P25" si="4">2*B7</f>
        <v>5.8475918097935706E-4</v>
      </c>
      <c r="C25">
        <f t="shared" si="4"/>
        <v>2.4679238941653425E-4</v>
      </c>
      <c r="D25">
        <f t="shared" si="4"/>
        <v>6.0083848752677753E-5</v>
      </c>
      <c r="E25">
        <f t="shared" si="4"/>
        <v>3.1498904118985399E-4</v>
      </c>
      <c r="F25">
        <f t="shared" si="4"/>
        <v>9.4661641140411233E-4</v>
      </c>
      <c r="G25">
        <f t="shared" si="4"/>
        <v>3.7990733360677553E-4</v>
      </c>
      <c r="H25">
        <f t="shared" si="4"/>
        <v>5.3912257621666678E-4</v>
      </c>
      <c r="I25">
        <f t="shared" si="4"/>
        <v>4.0249045072767586E-4</v>
      </c>
      <c r="J25">
        <f t="shared" si="4"/>
        <v>8.0703387832068655E-4</v>
      </c>
      <c r="K25">
        <f t="shared" si="4"/>
        <v>-8.4644393030775973E-5</v>
      </c>
      <c r="L25">
        <f t="shared" si="4"/>
        <v>4.2209546453737145E-4</v>
      </c>
      <c r="M25">
        <f t="shared" si="4"/>
        <v>6.7943610390764535E-4</v>
      </c>
      <c r="N25">
        <f t="shared" si="4"/>
        <v>-8.7171407776906774E-5</v>
      </c>
      <c r="O25">
        <f t="shared" si="4"/>
        <v>5.8537072423001785E-4</v>
      </c>
      <c r="P25">
        <f t="shared" si="4"/>
        <v>5.817435890247333E-4</v>
      </c>
      <c r="Q25">
        <v>-1</v>
      </c>
      <c r="R25">
        <v>0</v>
      </c>
      <c r="T25">
        <v>0</v>
      </c>
    </row>
    <row r="26" spans="2:20" x14ac:dyDescent="0.3">
      <c r="B26">
        <f t="shared" ref="B26:P26" si="5">2*B8</f>
        <v>6.1777694578330367E-4</v>
      </c>
      <c r="C26">
        <f t="shared" si="5"/>
        <v>4.1965036276915633E-4</v>
      </c>
      <c r="D26">
        <f t="shared" si="5"/>
        <v>4.0166916719493846E-4</v>
      </c>
      <c r="E26">
        <f t="shared" si="5"/>
        <v>3.634600800719176E-4</v>
      </c>
      <c r="F26">
        <f t="shared" si="5"/>
        <v>3.7990733360677553E-4</v>
      </c>
      <c r="G26">
        <f t="shared" si="5"/>
        <v>1.1864341515667039E-3</v>
      </c>
      <c r="H26">
        <f t="shared" si="5"/>
        <v>3.7371024588071919E-4</v>
      </c>
      <c r="I26">
        <f t="shared" si="5"/>
        <v>4.9190176610028737E-4</v>
      </c>
      <c r="J26">
        <f t="shared" si="5"/>
        <v>1.173548329635317E-4</v>
      </c>
      <c r="K26">
        <f t="shared" si="5"/>
        <v>6.0154762355678988E-4</v>
      </c>
      <c r="L26">
        <f t="shared" si="5"/>
        <v>5.1692668031636457E-4</v>
      </c>
      <c r="M26">
        <f t="shared" si="5"/>
        <v>3.03571916921405E-4</v>
      </c>
      <c r="N26">
        <f t="shared" si="5"/>
        <v>6.2572858906022137E-4</v>
      </c>
      <c r="O26">
        <f t="shared" si="5"/>
        <v>4.782614426291258E-4</v>
      </c>
      <c r="P26">
        <f t="shared" si="5"/>
        <v>-3.2735040392357655E-5</v>
      </c>
      <c r="Q26">
        <v>-1</v>
      </c>
      <c r="R26">
        <v>0</v>
      </c>
      <c r="T26">
        <v>0</v>
      </c>
    </row>
    <row r="27" spans="2:20" x14ac:dyDescent="0.3">
      <c r="B27">
        <f t="shared" ref="B27:P27" si="6">2*B9</f>
        <v>8.1374692423747839E-4</v>
      </c>
      <c r="C27">
        <f t="shared" si="6"/>
        <v>6.0797549012566495E-4</v>
      </c>
      <c r="D27">
        <f t="shared" si="6"/>
        <v>5.906568568243754E-4</v>
      </c>
      <c r="E27">
        <f t="shared" si="6"/>
        <v>1.0137674676062027E-3</v>
      </c>
      <c r="F27">
        <f t="shared" si="6"/>
        <v>5.3912257621666678E-4</v>
      </c>
      <c r="G27">
        <f t="shared" si="6"/>
        <v>3.7371024588071919E-4</v>
      </c>
      <c r="H27">
        <f t="shared" si="6"/>
        <v>2.3560925477699546E-3</v>
      </c>
      <c r="I27">
        <f t="shared" si="6"/>
        <v>3.0768480704367502E-4</v>
      </c>
      <c r="J27">
        <f t="shared" si="6"/>
        <v>1.1384138223873486E-3</v>
      </c>
      <c r="K27">
        <f t="shared" si="6"/>
        <v>1.3778800876392461E-3</v>
      </c>
      <c r="L27">
        <f t="shared" si="6"/>
        <v>2.0581110218497885E-3</v>
      </c>
      <c r="M27">
        <f t="shared" si="6"/>
        <v>5.7702530616752633E-4</v>
      </c>
      <c r="N27">
        <f t="shared" si="6"/>
        <v>1.4182445238712159E-3</v>
      </c>
      <c r="O27">
        <f t="shared" si="6"/>
        <v>2.4833274253366947E-3</v>
      </c>
      <c r="P27">
        <f t="shared" si="6"/>
        <v>1.5423795976609717E-3</v>
      </c>
      <c r="Q27">
        <v>-1</v>
      </c>
      <c r="R27">
        <v>0</v>
      </c>
      <c r="T27">
        <v>0</v>
      </c>
    </row>
    <row r="28" spans="2:20" x14ac:dyDescent="0.3">
      <c r="B28">
        <f t="shared" ref="B28:P28" si="7">2*B10</f>
        <v>5.205045144548203E-4</v>
      </c>
      <c r="C28">
        <f t="shared" si="7"/>
        <v>3.0237326281327981E-4</v>
      </c>
      <c r="D28">
        <f t="shared" si="7"/>
        <v>2.3593339594265058E-5</v>
      </c>
      <c r="E28">
        <f t="shared" si="7"/>
        <v>7.069214408818437E-5</v>
      </c>
      <c r="F28">
        <f t="shared" si="7"/>
        <v>4.0249045072767586E-4</v>
      </c>
      <c r="G28">
        <f t="shared" si="7"/>
        <v>4.9190176610028737E-4</v>
      </c>
      <c r="H28">
        <f t="shared" si="7"/>
        <v>3.0768480704367502E-4</v>
      </c>
      <c r="I28">
        <f t="shared" si="7"/>
        <v>9.1441107861570548E-4</v>
      </c>
      <c r="J28">
        <f t="shared" si="7"/>
        <v>2.8760681982145772E-4</v>
      </c>
      <c r="K28">
        <f t="shared" si="7"/>
        <v>1.0755606565464829E-4</v>
      </c>
      <c r="L28">
        <f t="shared" si="7"/>
        <v>5.2945550366096002E-4</v>
      </c>
      <c r="M28">
        <f t="shared" si="7"/>
        <v>3.8988440645724835E-4</v>
      </c>
      <c r="N28">
        <f t="shared" si="7"/>
        <v>3.1664834619890236E-5</v>
      </c>
      <c r="O28">
        <f t="shared" si="7"/>
        <v>4.2985829945062692E-4</v>
      </c>
      <c r="P28">
        <f t="shared" si="7"/>
        <v>2.0570010214924093E-4</v>
      </c>
      <c r="Q28">
        <v>-1</v>
      </c>
      <c r="R28">
        <v>0</v>
      </c>
      <c r="T28">
        <v>0</v>
      </c>
    </row>
    <row r="29" spans="2:20" x14ac:dyDescent="0.3">
      <c r="B29">
        <f t="shared" ref="B29:P29" si="8">2*B11</f>
        <v>1.3713225741301778E-3</v>
      </c>
      <c r="C29">
        <f t="shared" si="8"/>
        <v>8.4511362807248235E-4</v>
      </c>
      <c r="D29">
        <f t="shared" si="8"/>
        <v>1.0412384499354117E-3</v>
      </c>
      <c r="E29">
        <f t="shared" si="8"/>
        <v>1.0963433988347036E-3</v>
      </c>
      <c r="F29">
        <f t="shared" si="8"/>
        <v>8.0703387832068655E-4</v>
      </c>
      <c r="G29">
        <f t="shared" si="8"/>
        <v>1.173548329635317E-4</v>
      </c>
      <c r="H29">
        <f t="shared" si="8"/>
        <v>1.1384138223873486E-3</v>
      </c>
      <c r="I29">
        <f t="shared" si="8"/>
        <v>2.8760681982145772E-4</v>
      </c>
      <c r="J29">
        <f t="shared" si="8"/>
        <v>5.9991852585411934E-3</v>
      </c>
      <c r="K29">
        <f t="shared" si="8"/>
        <v>2.027915447388617E-3</v>
      </c>
      <c r="L29">
        <f t="shared" si="8"/>
        <v>1.6838165837100663E-3</v>
      </c>
      <c r="M29">
        <f t="shared" si="8"/>
        <v>7.5346231692888937E-4</v>
      </c>
      <c r="N29">
        <f t="shared" si="8"/>
        <v>1.1622222267277371E-3</v>
      </c>
      <c r="O29">
        <f t="shared" si="8"/>
        <v>1.3768732848656905E-3</v>
      </c>
      <c r="P29">
        <f t="shared" si="8"/>
        <v>9.7485131637686871E-4</v>
      </c>
      <c r="Q29">
        <v>-1</v>
      </c>
      <c r="R29">
        <v>0</v>
      </c>
      <c r="T29">
        <v>0</v>
      </c>
    </row>
    <row r="30" spans="2:20" x14ac:dyDescent="0.3">
      <c r="B30">
        <f t="shared" ref="B30:P30" si="9">2*B12</f>
        <v>2.3149747978727865E-3</v>
      </c>
      <c r="C30">
        <f t="shared" si="9"/>
        <v>2.1455568876527342E-3</v>
      </c>
      <c r="D30">
        <f t="shared" si="9"/>
        <v>3.0045115151653414E-3</v>
      </c>
      <c r="E30">
        <f t="shared" si="9"/>
        <v>2.0063486096427181E-3</v>
      </c>
      <c r="F30">
        <f t="shared" si="9"/>
        <v>-8.4644393030775973E-5</v>
      </c>
      <c r="G30">
        <f t="shared" si="9"/>
        <v>6.0154762355678988E-4</v>
      </c>
      <c r="H30">
        <f t="shared" si="9"/>
        <v>1.3778800876392461E-3</v>
      </c>
      <c r="I30">
        <f t="shared" si="9"/>
        <v>1.0755606565464829E-4</v>
      </c>
      <c r="J30">
        <f t="shared" si="9"/>
        <v>2.027915447388617E-3</v>
      </c>
      <c r="K30">
        <f t="shared" si="9"/>
        <v>7.3966371799447607E-3</v>
      </c>
      <c r="L30">
        <f t="shared" si="9"/>
        <v>1.8358515099149728E-3</v>
      </c>
      <c r="M30">
        <f t="shared" si="9"/>
        <v>7.4481613802560866E-4</v>
      </c>
      <c r="N30">
        <f t="shared" si="9"/>
        <v>3.907525007132282E-3</v>
      </c>
      <c r="O30">
        <f t="shared" si="9"/>
        <v>1.6910804064662335E-3</v>
      </c>
      <c r="P30">
        <f t="shared" si="9"/>
        <v>1.8698174225151063E-4</v>
      </c>
      <c r="Q30">
        <v>-1</v>
      </c>
      <c r="R30">
        <v>0</v>
      </c>
      <c r="T30">
        <v>0</v>
      </c>
    </row>
    <row r="31" spans="2:20" x14ac:dyDescent="0.3">
      <c r="B31">
        <f t="shared" ref="B31:P31" si="10">2*B13</f>
        <v>1.3887755626695085E-3</v>
      </c>
      <c r="C31">
        <f t="shared" si="10"/>
        <v>9.3023866238668999E-4</v>
      </c>
      <c r="D31">
        <f t="shared" si="10"/>
        <v>1.6065607744049344E-3</v>
      </c>
      <c r="E31">
        <f t="shared" si="10"/>
        <v>1.2138767111670944E-3</v>
      </c>
      <c r="F31">
        <f t="shared" si="10"/>
        <v>4.2209546453737145E-4</v>
      </c>
      <c r="G31">
        <f t="shared" si="10"/>
        <v>5.1692668031636457E-4</v>
      </c>
      <c r="H31">
        <f t="shared" si="10"/>
        <v>2.0581110218497885E-3</v>
      </c>
      <c r="I31">
        <f t="shared" si="10"/>
        <v>5.2945550366096002E-4</v>
      </c>
      <c r="J31">
        <f t="shared" si="10"/>
        <v>1.6838165837100663E-3</v>
      </c>
      <c r="K31">
        <f t="shared" si="10"/>
        <v>1.8358515099149728E-3</v>
      </c>
      <c r="L31">
        <f t="shared" si="10"/>
        <v>3.8036380506010314E-3</v>
      </c>
      <c r="M31">
        <f t="shared" si="10"/>
        <v>9.0408895237368455E-5</v>
      </c>
      <c r="N31">
        <f t="shared" si="10"/>
        <v>1.9888359192670839E-3</v>
      </c>
      <c r="O31">
        <f t="shared" si="10"/>
        <v>2.4650375866429393E-3</v>
      </c>
      <c r="P31">
        <f t="shared" si="10"/>
        <v>1.5272501998521539E-3</v>
      </c>
      <c r="Q31">
        <v>-1</v>
      </c>
      <c r="R31">
        <v>0</v>
      </c>
      <c r="T31">
        <v>0</v>
      </c>
    </row>
    <row r="32" spans="2:20" x14ac:dyDescent="0.3">
      <c r="B32">
        <f t="shared" ref="B32:P32" si="11">2*B14</f>
        <v>8.467994951319172E-4</v>
      </c>
      <c r="C32">
        <f t="shared" si="11"/>
        <v>4.1965505425016979E-4</v>
      </c>
      <c r="D32">
        <f t="shared" si="11"/>
        <v>3.5487429103698865E-4</v>
      </c>
      <c r="E32">
        <f t="shared" si="11"/>
        <v>6.9123286815704588E-4</v>
      </c>
      <c r="F32">
        <f t="shared" si="11"/>
        <v>6.7943610390764535E-4</v>
      </c>
      <c r="G32">
        <f t="shared" si="11"/>
        <v>3.03571916921405E-4</v>
      </c>
      <c r="H32">
        <f t="shared" si="11"/>
        <v>5.7702530616752633E-4</v>
      </c>
      <c r="I32">
        <f t="shared" si="11"/>
        <v>3.8988440645724835E-4</v>
      </c>
      <c r="J32">
        <f t="shared" si="11"/>
        <v>7.5346231692888937E-4</v>
      </c>
      <c r="K32">
        <f t="shared" si="11"/>
        <v>7.4481613802560866E-4</v>
      </c>
      <c r="L32">
        <f t="shared" si="11"/>
        <v>9.0408895237368455E-5</v>
      </c>
      <c r="M32">
        <f t="shared" si="11"/>
        <v>1.9183289954903897E-3</v>
      </c>
      <c r="N32">
        <f t="shared" si="11"/>
        <v>4.0457979566750391E-4</v>
      </c>
      <c r="O32">
        <f t="shared" si="11"/>
        <v>6.1573766111423344E-4</v>
      </c>
      <c r="P32">
        <f t="shared" si="11"/>
        <v>3.9453058008101619E-4</v>
      </c>
      <c r="Q32">
        <v>-1</v>
      </c>
      <c r="R32">
        <v>0</v>
      </c>
      <c r="T32">
        <v>0</v>
      </c>
    </row>
    <row r="33" spans="2:20" x14ac:dyDescent="0.3">
      <c r="B33">
        <f t="shared" ref="B33:P33" si="12">2*B15</f>
        <v>1.5113562734599528E-3</v>
      </c>
      <c r="C33">
        <f t="shared" si="12"/>
        <v>1.5702399880675741E-3</v>
      </c>
      <c r="D33">
        <f t="shared" si="12"/>
        <v>2.5790416014297509E-3</v>
      </c>
      <c r="E33">
        <f t="shared" si="12"/>
        <v>1.4097419287970568E-3</v>
      </c>
      <c r="F33">
        <f t="shared" si="12"/>
        <v>-8.7171407776906774E-5</v>
      </c>
      <c r="G33">
        <f t="shared" si="12"/>
        <v>6.2572858906022137E-4</v>
      </c>
      <c r="H33">
        <f t="shared" si="12"/>
        <v>1.4182445238712159E-3</v>
      </c>
      <c r="I33">
        <f t="shared" si="12"/>
        <v>3.1664834619890236E-5</v>
      </c>
      <c r="J33">
        <f t="shared" si="12"/>
        <v>1.1622222267277371E-3</v>
      </c>
      <c r="K33">
        <f t="shared" si="12"/>
        <v>3.907525007132282E-3</v>
      </c>
      <c r="L33">
        <f t="shared" si="12"/>
        <v>1.9888359192670839E-3</v>
      </c>
      <c r="M33">
        <f t="shared" si="12"/>
        <v>4.0457979566750391E-4</v>
      </c>
      <c r="N33">
        <f t="shared" si="12"/>
        <v>6.0610007455906539E-3</v>
      </c>
      <c r="O33">
        <f t="shared" si="12"/>
        <v>1.5060211658974724E-3</v>
      </c>
      <c r="P33">
        <f t="shared" si="12"/>
        <v>-3.2861823699945525E-4</v>
      </c>
      <c r="Q33">
        <v>-1</v>
      </c>
      <c r="R33">
        <v>0</v>
      </c>
      <c r="T33">
        <v>0</v>
      </c>
    </row>
    <row r="34" spans="2:20" x14ac:dyDescent="0.3">
      <c r="B34">
        <f t="shared" ref="B34:P34" si="13">2*B16</f>
        <v>1.2181027997658898E-3</v>
      </c>
      <c r="C34">
        <f t="shared" si="13"/>
        <v>7.1705132613954616E-4</v>
      </c>
      <c r="D34">
        <f t="shared" si="13"/>
        <v>9.7534150097859889E-4</v>
      </c>
      <c r="E34">
        <f t="shared" si="13"/>
        <v>1.323137458582083E-3</v>
      </c>
      <c r="F34">
        <f t="shared" si="13"/>
        <v>5.8537072423001785E-4</v>
      </c>
      <c r="G34">
        <f t="shared" si="13"/>
        <v>4.782614426291258E-4</v>
      </c>
      <c r="H34">
        <f t="shared" si="13"/>
        <v>2.4833274253366947E-3</v>
      </c>
      <c r="I34">
        <f t="shared" si="13"/>
        <v>4.2985829945062692E-4</v>
      </c>
      <c r="J34">
        <f t="shared" si="13"/>
        <v>1.3768732848656905E-3</v>
      </c>
      <c r="K34">
        <f t="shared" si="13"/>
        <v>1.6910804064662335E-3</v>
      </c>
      <c r="L34">
        <f t="shared" si="13"/>
        <v>2.4650375866429393E-3</v>
      </c>
      <c r="M34">
        <f t="shared" si="13"/>
        <v>6.1573766111423344E-4</v>
      </c>
      <c r="N34">
        <f t="shared" si="13"/>
        <v>1.5060211658974724E-3</v>
      </c>
      <c r="O34">
        <f t="shared" si="13"/>
        <v>3.157385338688918E-3</v>
      </c>
      <c r="P34">
        <f t="shared" si="13"/>
        <v>1.9736623264190881E-3</v>
      </c>
      <c r="Q34">
        <v>-1</v>
      </c>
      <c r="R34">
        <v>0</v>
      </c>
      <c r="T34">
        <v>0</v>
      </c>
    </row>
    <row r="35" spans="2:20" x14ac:dyDescent="0.3">
      <c r="B35">
        <f t="shared" ref="B35:P35" si="14">2*B17</f>
        <v>5.7104798495323072E-4</v>
      </c>
      <c r="C35">
        <f t="shared" si="14"/>
        <v>1.6532338168732434E-4</v>
      </c>
      <c r="D35">
        <f t="shared" si="14"/>
        <v>2.1875232808370177E-5</v>
      </c>
      <c r="E35">
        <f t="shared" si="14"/>
        <v>6.0379381619348111E-4</v>
      </c>
      <c r="F35">
        <f t="shared" si="14"/>
        <v>5.817435890247333E-4</v>
      </c>
      <c r="G35">
        <f t="shared" si="14"/>
        <v>-3.2735040392357655E-5</v>
      </c>
      <c r="H35">
        <f t="shared" si="14"/>
        <v>1.5423795976609717E-3</v>
      </c>
      <c r="I35">
        <f t="shared" si="14"/>
        <v>2.0570010214924093E-4</v>
      </c>
      <c r="J35">
        <f t="shared" si="14"/>
        <v>9.7485131637686871E-4</v>
      </c>
      <c r="K35">
        <f t="shared" si="14"/>
        <v>1.8698174225151063E-4</v>
      </c>
      <c r="L35">
        <f t="shared" si="14"/>
        <v>1.5272501998521539E-3</v>
      </c>
      <c r="M35">
        <f t="shared" si="14"/>
        <v>3.9453058008101619E-4</v>
      </c>
      <c r="N35">
        <f t="shared" si="14"/>
        <v>-3.2861823699945525E-4</v>
      </c>
      <c r="O35">
        <f t="shared" si="14"/>
        <v>1.9736623264190881E-3</v>
      </c>
      <c r="P35">
        <f t="shared" si="14"/>
        <v>3.2143621511817378E-3</v>
      </c>
      <c r="Q35">
        <v>-1</v>
      </c>
      <c r="R35">
        <v>0</v>
      </c>
      <c r="T35">
        <v>0</v>
      </c>
    </row>
    <row r="36" spans="2:20" x14ac:dyDescent="0.3"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0</v>
      </c>
      <c r="R36">
        <v>0</v>
      </c>
      <c r="T36">
        <v>1</v>
      </c>
    </row>
    <row r="37" spans="2:20" x14ac:dyDescent="0.3"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T37">
        <v>0.1</v>
      </c>
    </row>
    <row r="39" spans="2:20" x14ac:dyDescent="0.3">
      <c r="C39" t="s">
        <v>26</v>
      </c>
      <c r="F39" t="s">
        <v>27</v>
      </c>
      <c r="H39" t="s">
        <v>28</v>
      </c>
      <c r="K39" t="s">
        <v>29</v>
      </c>
    </row>
    <row r="40" spans="2:20" x14ac:dyDescent="0.3">
      <c r="C40" cm="1">
        <f t="array" ref="C40:C56">MMULT(MINVERSE(B21:R37),T21:T37)</f>
        <v>9.9999999999999992E-2</v>
      </c>
      <c r="F40" cm="1">
        <f t="array" ref="F40">MMULT(TRANSPOSE(C40:C54),T3:T17)</f>
        <v>2.1438190619930903E-3</v>
      </c>
      <c r="H40" cm="1">
        <f t="array" ref="H40">MMULT(TRANSPOSE(C40:C54),MMULT(B3:P17,C40:C54))</f>
        <v>2.320173234256281E-4</v>
      </c>
      <c r="K40">
        <f>SQRT(H40)</f>
        <v>1.5232114870418622E-2</v>
      </c>
    </row>
    <row r="41" spans="2:20" x14ac:dyDescent="0.3">
      <c r="C41">
        <v>4.4445857393226908E-2</v>
      </c>
    </row>
    <row r="42" spans="2:20" x14ac:dyDescent="0.3">
      <c r="C42">
        <v>0.17298267355812488</v>
      </c>
    </row>
    <row r="43" spans="2:20" x14ac:dyDescent="0.3">
      <c r="C43">
        <v>2.5170120794375223E-2</v>
      </c>
    </row>
    <row r="44" spans="2:20" x14ac:dyDescent="0.3">
      <c r="C44">
        <v>0.12365087966326493</v>
      </c>
    </row>
    <row r="45" spans="2:20" x14ac:dyDescent="0.3">
      <c r="C45">
        <v>0.15319669623483145</v>
      </c>
    </row>
    <row r="46" spans="2:20" x14ac:dyDescent="0.3">
      <c r="C46">
        <v>0.38493044946693022</v>
      </c>
    </row>
    <row r="47" spans="2:20" x14ac:dyDescent="0.3">
      <c r="C47">
        <v>0.35760197148098583</v>
      </c>
    </row>
    <row r="48" spans="2:20" x14ac:dyDescent="0.3">
      <c r="C48">
        <v>7.2174614881884511E-3</v>
      </c>
    </row>
    <row r="49" spans="3:3" x14ac:dyDescent="0.3">
      <c r="C49">
        <v>-5.3113109482614822E-2</v>
      </c>
    </row>
    <row r="50" spans="3:3" x14ac:dyDescent="0.3">
      <c r="C50">
        <v>-0.13505756369323901</v>
      </c>
    </row>
    <row r="51" spans="3:3" x14ac:dyDescent="0.3">
      <c r="C51">
        <v>-2.4613020153863782E-2</v>
      </c>
    </row>
    <row r="52" spans="3:3" x14ac:dyDescent="0.3">
      <c r="C52">
        <v>2.7311513268161489E-2</v>
      </c>
    </row>
    <row r="53" spans="3:3" x14ac:dyDescent="0.3">
      <c r="C53">
        <v>-0.35568232923262805</v>
      </c>
    </row>
    <row r="54" spans="3:3" x14ac:dyDescent="0.3">
      <c r="C54">
        <v>0.17195839921425621</v>
      </c>
    </row>
    <row r="55" spans="3:3" x14ac:dyDescent="0.3">
      <c r="C55">
        <v>4.4051236292378586E-4</v>
      </c>
    </row>
    <row r="56" spans="3:3" x14ac:dyDescent="0.3">
      <c r="C56">
        <v>2.3522283927470327E-4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Stock Data</vt:lpstr>
      <vt:lpstr>Returns</vt:lpstr>
      <vt:lpstr>Risk Premia</vt:lpstr>
      <vt:lpstr>Data</vt:lpstr>
      <vt:lpstr>MVO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Griffon Etienne</cp:lastModifiedBy>
  <dcterms:created xsi:type="dcterms:W3CDTF">2026-04-20T08:37:24Z</dcterms:created>
  <dcterms:modified xsi:type="dcterms:W3CDTF">2026-04-20T08:37:24Z</dcterms:modified>
</cp:coreProperties>
</file>